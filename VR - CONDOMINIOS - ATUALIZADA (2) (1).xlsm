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worksheets/sheet29.xml" ContentType="application/vnd.openxmlformats-officedocument.spreadsheetml.worksheet+xml"/>
  <Override PartName="/xl/worksheets/sheet2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6.xml" ContentType="application/vnd.openxmlformats-officedocument.spreadsheetml.worksheet+xml"/>
  <Override PartName="/xl/worksheets/sheet37.xml" ContentType="application/vnd.openxmlformats-officedocument.spreadsheetml.worksheet+xml"/>
  <Override PartName="/xl/worksheets/sheet11.xml" ContentType="application/vnd.openxmlformats-officedocument.spreadsheetml.worksheet+xml"/>
  <Override PartName="/xl/worksheets/sheet33.xml" ContentType="application/vnd.openxmlformats-officedocument.spreadsheetml.worksheet+xml"/>
  <Override PartName="/xl/worksheets/sheet24.xml" ContentType="application/vnd.openxmlformats-officedocument.spreadsheetml.worksheet+xml"/>
  <Override PartName="/xl/worksheets/sheet36.xml" ContentType="application/vnd.openxmlformats-officedocument.spreadsheetml.worksheet+xml"/>
  <Override PartName="/xl/worksheets/sheet28.xml" ContentType="application/vnd.openxmlformats-officedocument.spreadsheetml.worksheet+xml"/>
  <Override PartName="/xl/worksheets/sheet40.xml" ContentType="application/vnd.openxmlformats-officedocument.spreadsheetml.worksheet+xml"/>
  <Override PartName="/xl/worksheets/sheet6.xml" ContentType="application/vnd.openxmlformats-officedocument.spreadsheetml.worksheet+xml"/>
  <Override PartName="/xl/worksheets/sheet38.xml" ContentType="application/vnd.openxmlformats-officedocument.spreadsheetml.worksheet+xml"/>
  <Override PartName="/xl/worksheets/sheet30.xml" ContentType="application/vnd.openxmlformats-officedocument.spreadsheetml.worksheet+xml"/>
  <Override PartName="/xl/worksheets/sheet8.xml" ContentType="application/vnd.openxmlformats-officedocument.spreadsheetml.worksheet+xml"/>
  <Override PartName="/xl/worksheets/sheet19.xml" ContentType="application/vnd.openxmlformats-officedocument.spreadsheetml.worksheet+xml"/>
  <Override PartName="/xl/worksheets/sheet15.xml" ContentType="application/vnd.openxmlformats-officedocument.spreadsheetml.worksheet+xml"/>
  <Override PartName="/xl/worksheets/sheet20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17.xml" ContentType="application/vnd.openxmlformats-officedocument.spreadsheetml.worksheet+xml"/>
  <Override PartName="/xl/worksheets/sheet22.xml" ContentType="application/vnd.openxmlformats-officedocument.spreadsheetml.worksheet+xml"/>
  <Override PartName="/xl/worksheets/sheet1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18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xl/drawings/drawing3.xml" ContentType="application/vnd.openxmlformats-officedocument.drawing+xml"/>
  <Override PartName="/xl/drawings/vmlDrawing2.vml" ContentType="application/vnd.openxmlformats-officedocument.vmlDrawing"/>
  <Override PartName="/xl/styles.xml" ContentType="application/vnd.openxmlformats-officedocument.spreadsheetml.styles+xml"/>
  <Override PartName="/xl/ctrlProps/ctrlProps4.xml" ContentType="application/vnd.ms-excel.controlpropertie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Orientação_Preenchimento" sheetId="1" state="visible" r:id="rId4"/>
    <sheet name="Local de Entrega" sheetId="2" state="visible" r:id="rId5"/>
    <sheet name="Centro de Custo" sheetId="3" state="visible" r:id="rId6"/>
    <sheet name="Beneficiario" sheetId="4" state="visible" r:id="rId7"/>
    <sheet name="Provisorio" sheetId="5" state="visible" r:id="rId8"/>
    <sheet name="00" sheetId="6" state="hidden" r:id="rId9"/>
    <sheet name="Sumario" sheetId="7" state="visible" r:id="rId10"/>
    <sheet name="10" sheetId="8" state="hidden" r:id="rId11"/>
    <sheet name="11" sheetId="9" state="hidden" r:id="rId12"/>
    <sheet name="12" sheetId="10" state="hidden" r:id="rId13"/>
    <sheet name="20" sheetId="11" state="hidden" r:id="rId14"/>
    <sheet name="30" sheetId="12" state="hidden" r:id="rId15"/>
    <sheet name="40" sheetId="13" state="hidden" r:id="rId16"/>
    <sheet name="50" sheetId="14" state="hidden" r:id="rId17"/>
    <sheet name="60" sheetId="15" state="hidden" r:id="rId18"/>
    <sheet name="99" sheetId="16" state="hidden" r:id="rId19"/>
    <sheet name="60R" sheetId="17" state="hidden" r:id="rId20"/>
    <sheet name="60A" sheetId="18" state="hidden" r:id="rId21"/>
    <sheet name="60V" sheetId="19" state="hidden" r:id="rId22"/>
    <sheet name="60C" sheetId="20" state="hidden" r:id="rId23"/>
    <sheet name="60CESTA" sheetId="21" state="hidden" r:id="rId24"/>
    <sheet name="60NAT" sheetId="22" state="hidden" r:id="rId25"/>
    <sheet name="60AXA" sheetId="23" state="hidden" r:id="rId26"/>
    <sheet name="60VRS" sheetId="24" state="hidden" r:id="rId27"/>
    <sheet name="60AXR" sheetId="25" state="hidden" r:id="rId28"/>
    <sheet name="60MBF" sheetId="26" state="hidden" r:id="rId29"/>
    <sheet name="60MBP" sheetId="27" state="hidden" r:id="rId30"/>
    <sheet name="60MBX" sheetId="28" state="hidden" r:id="rId31"/>
    <sheet name="60FLX" sheetId="29" state="hidden" r:id="rId32"/>
    <sheet name="60VRG" sheetId="30" state="hidden" r:id="rId33"/>
    <sheet name="cpf" sheetId="31" state="hidden" r:id="rId34"/>
    <sheet name="60VRM" sheetId="32" state="hidden" r:id="rId35"/>
    <sheet name="60VAM" sheetId="33" state="hidden" r:id="rId36"/>
    <sheet name="60RXM" sheetId="34" state="hidden" r:id="rId37"/>
    <sheet name="60AXM" sheetId="35" state="hidden" r:id="rId38"/>
    <sheet name="60FXM" sheetId="36" state="hidden" r:id="rId39"/>
    <sheet name="60HOM" sheetId="37" state="hidden" r:id="rId40"/>
    <sheet name="60PRM" sheetId="38" state="hidden" r:id="rId41"/>
    <sheet name="60VBM" sheetId="39" state="hidden" r:id="rId42"/>
    <sheet name="60BFM" sheetId="40" state="hidden" r:id="rId43"/>
  </sheets>
  <definedNames>
    <definedName function="false" hidden="true" localSheetId="3" name="_xlnm._FilterDatabase" vbProcedure="false">Beneficiario!$A$2:$BS$332</definedName>
    <definedName function="false" hidden="true" localSheetId="1" name="_xlnm._FilterDatabase" vbProcedure="false">'Local de Entrega'!$A$1:$XEX$113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4.xml><?xml version="1.0" encoding="utf-8"?>
<comments xmlns="http://schemas.openxmlformats.org/spreadsheetml/2006/main" xmlns:xdr="http://schemas.openxmlformats.org/drawingml/2006/spreadsheetDrawing">
  <authors>
    <author>Andre Vinicius Batalini Menosse - (4134-4207)</author>
  </authors>
  <commentList>
    <comment ref="I1" authorId="0">
      <text>
        <r>
          <rPr>
            <sz val="10"/>
            <rFont val="Arial"/>
            <family val="2"/>
          </rPr>
          <t xml:space="preserve">Andre Vinicius Batalini Menosse - (4134-4207):
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      </r>
      </text>
    </comment>
  </commentList>
</comments>
</file>

<file path=xl/sharedStrings.xml><?xml version="1.0" encoding="utf-8"?>
<sst xmlns="http://schemas.openxmlformats.org/spreadsheetml/2006/main" count="3586" uniqueCount="1236">
  <si>
    <t xml:space="preserve">                   Caro Cliente,</t>
  </si>
  <si>
    <t xml:space="preserve">                  Este gerador de pedido foi desenvolvido para auxiliá-lo no envio do arquivo TXT  caso a sua empresa não possua sistema para exportação dos                   
                  dados dos beneficiários em formato TXT.</t>
  </si>
  <si>
    <t xml:space="preserve">Atenção:</t>
  </si>
  <si>
    <t xml:space="preserve"> - Não alterar este layout em nenhuma hipótese;</t>
  </si>
  <si>
    <t xml:space="preserve"> - Os campos obrigatórios estão identificados com * (asterisco);</t>
  </si>
  <si>
    <t xml:space="preserve"> - Não utilizar caracteres especiais no campo Nome Impressão Cartão (acentos, pontos, vírgula, º , ª , ,, , dentre outros);</t>
  </si>
  <si>
    <t xml:space="preserve"> - Permitido um CNPJ/Código do Cliente por pedido. Caso possua mais de um CNPJ/Código do Cliente, faça pedidos separados.</t>
  </si>
  <si>
    <t xml:space="preserve"> - No pedido pode ser solicitado mais de um benefício desde de que sejam da mesma modalidade de pagamento: pré-pago ou pós-pago;</t>
  </si>
  <si>
    <t xml:space="preserve"> - Se o pedido for apenas para gerar cartões preencha zero (0) no campo Valor do Crédito.</t>
  </si>
  <si>
    <t xml:space="preserve">Como enviar o arquivo</t>
  </si>
  <si>
    <t xml:space="preserve"> - Após preencher todos os dados na planilha de pedidos, clique na aba Sumario;</t>
  </si>
  <si>
    <t xml:space="preserve"> -  Digite o CNPJ/Código do Cliente, a Razão Social e a data de disponibilização dos créditos;</t>
  </si>
  <si>
    <t xml:space="preserve"> - Clique em Exportar TXT para gerar o arquivo</t>
  </si>
  <si>
    <t xml:space="preserve"> - Será gerado um arquivo TXT em uma pasta com o número do CNPJ/Código do Cliente;</t>
  </si>
  <si>
    <t xml:space="preserve"> - Utilizar este arquivo para enviar o seu pedido;</t>
  </si>
  <si>
    <t xml:space="preserve"> - No portal Cliente RH (área logada) clique na opção Pedido Arquivo;</t>
  </si>
  <si>
    <t xml:space="preserve"> - Clique na aba Upload do Arquivo;</t>
  </si>
  <si>
    <t xml:space="preserve"> - Selecione a modalidade de pagamento (pré-pago/pós-pago) e os produtos contidos no arquivo a ser importado;</t>
  </si>
  <si>
    <t xml:space="preserve"> - Informe o valor total de cada produto e caso queira, pode informar um Identificador do Pedido; </t>
  </si>
  <si>
    <t xml:space="preserve"> - Utilize o arquivo que foi gerado (pasta com o CNPJ/Código do Cliente) e clique em Importar.</t>
  </si>
  <si>
    <t xml:space="preserve">Importante: antes de iniciar o preenchimento do pedido, leia com atenção as orientações a seguir:</t>
  </si>
  <si>
    <t xml:space="preserve">Local de Entrega: registro não obrigatório desde que já tenha sido cadastrado anteriormente.</t>
  </si>
  <si>
    <t xml:space="preserve">Havendo o registro do Local de Entrega preencher os campos obrigatórios.</t>
  </si>
  <si>
    <t xml:space="preserve">Código Local Entrega*</t>
  </si>
  <si>
    <t xml:space="preserve">Código identificador do local de entrega criado pelo Cliente RH. 
Se o mesmo não estiver cadastrado no Portal Cliente RH, será criado. 
Se já existir o local será atualizado de acordo com o registro enviado.  
Tamanho máximo: 30 caracteres</t>
  </si>
  <si>
    <t xml:space="preserve">Nome do Local de Entrega*</t>
  </si>
  <si>
    <t xml:space="preserve">Descritivo para o local de entrega. 
Tamanho máximo: 80 caracteres.</t>
  </si>
  <si>
    <t xml:space="preserve">Tipo Logradouro*</t>
  </si>
  <si>
    <t xml:space="preserve">Rua, Avenida, Travessa etc.  
Tamanho máximo: 20 caracteres.</t>
  </si>
  <si>
    <t xml:space="preserve">Logradouro*</t>
  </si>
  <si>
    <t xml:space="preserve">Nome da Rua, Avenida, Travessa etc. 
Descritivo para o local de entrega.
Tamanho máximo: 40 caracteres. </t>
  </si>
  <si>
    <t xml:space="preserve">Número*</t>
  </si>
  <si>
    <t xml:space="preserve">Informar apenas números. 
Para um número 4B, o "B" deve ser informado no complemento. 
Tamanho máximo: 6 caracteres.</t>
  </si>
  <si>
    <t xml:space="preserve">Complemento</t>
  </si>
  <si>
    <t xml:space="preserve">Tamanho máximo: 20 caracteres.</t>
  </si>
  <si>
    <t xml:space="preserve">Bairro*</t>
  </si>
  <si>
    <t xml:space="preserve">Tamanho máximo: 30 caracteres.</t>
  </si>
  <si>
    <t xml:space="preserve">Cidade*</t>
  </si>
  <si>
    <t xml:space="preserve">UF*</t>
  </si>
  <si>
    <t xml:space="preserve">Informar a sigla do Estado. 
Tamanho máximo: 2 caracteres.</t>
  </si>
  <si>
    <t xml:space="preserve">CEP*</t>
  </si>
  <si>
    <t xml:space="preserve">Não colocar traço, apenas números. 
Colocar os "zeros" à esquerda.  
Tamanho máximo: 8 caracteres.</t>
  </si>
  <si>
    <t xml:space="preserve">Nome Interlocutor*</t>
  </si>
  <si>
    <t xml:space="preserve">Responsável pelo recebimento dos cartões dos Beneficiários no local de entrega.
Tamanho máximo: 30 caracteres</t>
  </si>
  <si>
    <t xml:space="preserve">Local de Entrega-Associação de CNPJ: Registro não obrigatório.</t>
  </si>
  <si>
    <t xml:space="preserve">Havendo uma associação de CNPJ, preencher os campos obrigatórios.</t>
  </si>
  <si>
    <t xml:space="preserve">CNPJ Local Entrega*</t>
  </si>
  <si>
    <t xml:space="preserve">CNPJ da empresa associada ao local de entrega. Caso o faturamento do contrato do RH estiver configurado como pagamento descentralizado, os beneficiários associados à esse CNPJ serão faturados separadamente.</t>
  </si>
  <si>
    <t xml:space="preserve">Nome Impressão Cartão*</t>
  </si>
  <si>
    <t xml:space="preserve">O nome de impressão da empresa (linha 3 do cartão) dos cartões daquele local de entrega.</t>
  </si>
  <si>
    <t xml:space="preserve">Email alerta financeiro</t>
  </si>
  <si>
    <t xml:space="preserve">Email utilizado para alerta financeiro (disponibilização de boleto) quando o faturamento for descentralizado.</t>
  </si>
  <si>
    <t xml:space="preserve">Local de Entrega-Responsável: Registro não obrigatório.</t>
  </si>
  <si>
    <t xml:space="preserve">Havendo um responsável pelo Local de Entrega, preencher os campos obrigatórios.</t>
  </si>
  <si>
    <t xml:space="preserve">Email do Interlocutor Principal (usuário portal)*</t>
  </si>
  <si>
    <t xml:space="preserve">Email (usuário portal), esse usuário poderá desbloquear as AR's geradas neste pedido.</t>
  </si>
  <si>
    <t xml:space="preserve">Email Interlocutor 2 
(usuário portal)</t>
  </si>
  <si>
    <t xml:space="preserve">Email Interlocutor 3 
(usuário portal)</t>
  </si>
  <si>
    <t xml:space="preserve">* campo de preenchimento obrigatório</t>
  </si>
  <si>
    <t xml:space="preserve">Centro de Custo -  Registro não obrigatório</t>
  </si>
  <si>
    <t xml:space="preserve">Havendo o registro preencher os campos obrigatórios.</t>
  </si>
  <si>
    <t xml:space="preserve">Código Centro de Custo*</t>
  </si>
  <si>
    <t xml:space="preserve">Código identificador do centro de custo criado pelo Cliente RH. 
Se o mesmo não estiver registrado, será criado.
Se já existir o centro de custo será atualizado de acordo com o registro enviado. 
Tamanho máximo: 12 caracteres.</t>
  </si>
  <si>
    <t xml:space="preserve">Nome Centro de Custo*</t>
  </si>
  <si>
    <t xml:space="preserve">Descritivo para o Centro de Custo.
Tamanho máximo: 80 caracteres.</t>
  </si>
  <si>
    <t xml:space="preserve">Nome Interlocutor</t>
  </si>
  <si>
    <t xml:space="preserve">Responsável pelo recebimento dos cartões dos Beneficiários no centro de custo. 
Se não for informado, será considerado o interlocutor responsável cadastrado no local de entrega. 
Tamanho máximo: 30 caracteres.</t>
  </si>
  <si>
    <t xml:space="preserve">Beneficiário -  Registro obrigatório</t>
  </si>
  <si>
    <t xml:space="preserve">Preencher os campos obrigatórios.</t>
  </si>
  <si>
    <t xml:space="preserve">CPF Beneficiário*</t>
  </si>
  <si>
    <t xml:space="preserve">Obrigatório para envio de benefícios a um Beneficiário nominal. 
Informar apenas números.
Se o mesmo não estiver registrado, será criado. 
Se já existir o Beneficiário será atualizado de acordo com o registro enviado. 
Tamanho máximo: 11 caracteres.</t>
  </si>
  <si>
    <t xml:space="preserve">O Código de local de entrega do Beneficiário.
Tamanho máximo: 30 caracteres.</t>
  </si>
  <si>
    <t xml:space="preserve">Código Centro de Custo</t>
  </si>
  <si>
    <t xml:space="preserve">O Código de centro de custo do Beneficiário.
Tamanho máximo: 12 caracteres.</t>
  </si>
  <si>
    <t xml:space="preserve">Nome Completo*</t>
  </si>
  <si>
    <t xml:space="preserve">Nome completo do beneficiário.
Tamanho máximo: 40 caracteres.</t>
  </si>
  <si>
    <t xml:space="preserve">Nome Impressão Cartão</t>
  </si>
  <si>
    <t xml:space="preserve">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
Tamanho máximo: 24 caracteres.</t>
  </si>
  <si>
    <t xml:space="preserve">Matrícula</t>
  </si>
  <si>
    <t xml:space="preserve">Tamanho máximo: 10 caracteres.</t>
  </si>
  <si>
    <t xml:space="preserve">Data Nascimento*</t>
  </si>
  <si>
    <t xml:space="preserve">Informar a data no formato dd/mm/aaaa </t>
  </si>
  <si>
    <t xml:space="preserve"> Sexo</t>
  </si>
  <si>
    <t xml:space="preserve">M – Masculino F – Feminino
No preenchimento deve ser informado apenas a letra: M (Masculino) ou F (Feminino)</t>
  </si>
  <si>
    <t xml:space="preserve">Faixa Salarial</t>
  </si>
  <si>
    <t xml:space="preserve">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</si>
  <si>
    <t xml:space="preserve">Refeição (Valor do Crédito)</t>
  </si>
  <si>
    <t xml:space="preserve">Informar o Valor do Benefício Mensal (Preencher apenas Números, não alterando o formato do Campo caso o valor possua centavos informar como EX: 250,00)</t>
  </si>
  <si>
    <t xml:space="preserve">Alimentação (Valor do Crédito)</t>
  </si>
  <si>
    <t xml:space="preserve">Auto (Valor do Crédito)</t>
  </si>
  <si>
    <t xml:space="preserve">Cultura (Valor do Crédito)</t>
  </si>
  <si>
    <t xml:space="preserve">Cesta (Valor do Crédito)</t>
  </si>
  <si>
    <t xml:space="preserve">Boas Festas (Valor do Crédito)</t>
  </si>
  <si>
    <t xml:space="preserve">Auxílio Refeição (Valor do Crédito)</t>
  </si>
  <si>
    <t xml:space="preserve">Auxílio Alimentação (Valor do Crédito)</t>
  </si>
  <si>
    <t xml:space="preserve">Multibenefício (Valor do Crédito)</t>
  </si>
  <si>
    <t xml:space="preserve">VR+VA (Valor do Crédito)</t>
  </si>
  <si>
    <t xml:space="preserve">VR Multi Refeição (Valor do Crédito)</t>
  </si>
  <si>
    <t xml:space="preserve">VR Multi Alimentação (Valor do Crédito)</t>
  </si>
  <si>
    <t xml:space="preserve">VR Multi Refeição Auxílio (Valor do Crédito)</t>
  </si>
  <si>
    <t xml:space="preserve">VR Multi Auxílio Alimentação  (Valor do Crédito)</t>
  </si>
  <si>
    <t xml:space="preserve">VR Multi VR+VA  (Valor do Crédito)</t>
  </si>
  <si>
    <t xml:space="preserve">VR Multi Home office  (Valor do Crédito)</t>
  </si>
  <si>
    <t xml:space="preserve">VR Multi Mobilidade (Valor do Crédito)</t>
  </si>
  <si>
    <t xml:space="preserve">Multi Premiação (Valor do Crédito)</t>
  </si>
  <si>
    <t xml:space="preserve">Provisório -  Registro não obrigatório</t>
  </si>
  <si>
    <t xml:space="preserve"> - Para cada produto é obrigatório que o campo Identificação seja diferente;</t>
  </si>
  <si>
    <t xml:space="preserve"> - Havendo produtos diferentes (Exemplo: VR Refeição e VR Alimentação) solicite um produto em cada linha.</t>
  </si>
  <si>
    <t xml:space="preserve">O Código de local de entrega do Provisório.
Tamanho máximo: 30 caracteres.</t>
  </si>
  <si>
    <t xml:space="preserve">O Código de centro de custo do Provisório.
Tamanho máximo: 12 caracteres.</t>
  </si>
  <si>
    <t xml:space="preserve">Identificação*</t>
  </si>
  <si>
    <t xml:space="preserve">Nome de Identificação, obrigatório para envio de benefícios a um cartão provisório. 
Tamanho máximo: 40 caracteres.</t>
  </si>
  <si>
    <t xml:space="preserve">Nome do Provisório que será impresso no cartão (não utilizar caracteres especiais: acentos, pontos, vírgula, dentre outros)
É opcional para os cartões provisórios.
Tamanho máximo: 24 caracteres.</t>
  </si>
  <si>
    <t xml:space="preserve">VR Refeição (Valor do Crédito)</t>
  </si>
  <si>
    <t xml:space="preserve">Informar o Valor do Benefício Mensal 
(Preencher apenas Números, não alterando o formato do Campo caso o valor possua centavos informar como EX: 250,00)</t>
  </si>
  <si>
    <t xml:space="preserve">VR Alimentação (Valor do Crédito)</t>
  </si>
  <si>
    <t xml:space="preserve">VR Auto (Valor do Crédito)</t>
  </si>
  <si>
    <t xml:space="preserve">VR Alimentação Cesta (Valor do Crédito)</t>
  </si>
  <si>
    <t xml:space="preserve">VR Boas Festas (Valor do Crédito)</t>
  </si>
  <si>
    <t xml:space="preserve">VR Auxílio Refeição (Valor do Crédito)</t>
  </si>
  <si>
    <t xml:space="preserve">VR Auxílio Alimentação (Valor do Crédito)</t>
  </si>
  <si>
    <t xml:space="preserve">VR Multibenefício (Valor do Crédito)</t>
  </si>
  <si>
    <t xml:space="preserve">VR Multi Alimentação Auxílio (Valor do Crédito)</t>
  </si>
  <si>
    <t xml:space="preserve">Código local entrega*
máximo 30 caracteres
Código identificador do local de entrega criado pelo Cliente RH. 
Se o mesmo não estiver cadastrado no Portal Cliente RH, será criado., caso já existir o local o mesmo será atualizado de acordo com o registro enviado. </t>
  </si>
  <si>
    <t xml:space="preserve">Nome local entrega*
máximo 80 caracteres
Descritivo para o local de entrega. 
Esta Campo será a identificação no Portal, Relatórios e Comprovantes de entrega</t>
  </si>
  <si>
    <t xml:space="preserve">Tipo Logradouro*
máximo 20 caracteres
Informar: Rua, Avenida, Travessa etc</t>
  </si>
  <si>
    <t xml:space="preserve">Logradouro*
máximo 40 caracteres
Informar: Nome da Rua, Avenida, Travessa etc.</t>
  </si>
  <si>
    <t xml:space="preserve">Número*
máx. 6 caracteres
Informar apenas números. 
Para um número 4B, o "B" deve ser informado no complemento.</t>
  </si>
  <si>
    <t xml:space="preserve">Complemento
máximo 20 caracteres
Descritivo do complemento do Endereço Ex: Bloco, Andar e etc.</t>
  </si>
  <si>
    <t xml:space="preserve">Bairro*
máximo 30 caracteres
Informar o Bairro</t>
  </si>
  <si>
    <t xml:space="preserve">Cidade*
máximo 30 caracteres
Informar a Cidade</t>
  </si>
  <si>
    <t xml:space="preserve">UF*
máx. 2 caracteres
Informar a Sigla do Estado</t>
  </si>
  <si>
    <t xml:space="preserve">CEP*
máx. 8 caracteres
Informar apenas números, Não colocar traço
Colocar os "zeros" à esquerda</t>
  </si>
  <si>
    <t xml:space="preserve">Nome Interlocutor*
máximo 30 caracteres
Informar Nome do Responsável pelo recebimento dos cartões pode ser mais de um nome respeitando o limite do campo</t>
  </si>
  <si>
    <t xml:space="preserve">CNPJ do Local de Entrega
14 caracteres
Utilizado apenas Quando faturamento é Descentralizado
CNPJ da empresa associada (FILIAL) ao local de entrega.
 Caso o faturamento do contrato do RH estiver configurado como pagamento descentralizado, os beneficiários associados à esse CNPJ serão faturados separadamente.
</t>
  </si>
  <si>
    <t xml:space="preserve">Nome Impressão Cartão 
24 caracteres
Utilizado apenas Quando faturamento é Descentralizado
Nome da Empresa que será impresso no cartão (linha 3 do cartão) </t>
  </si>
  <si>
    <t xml:space="preserve">E-Mail Alerta Financeiro
70 caracteres
E-mail utilizado para alerta financeiro (disponibilização da Nota Fiscal) quando o faturamento for descentralizado.</t>
  </si>
  <si>
    <t xml:space="preserve">E-mail Responsável Desbloqueio de ARs 
(usuário portal - principal)
60 caracteres
E-mail utilizado para Vincular usuários do Portal como responsável pelo desbloqueio dos cartões do endereço sinalizado.
Necessários que usuário seja criado no Portal do RH (Gerenciar Usuários)</t>
  </si>
  <si>
    <t xml:space="preserve">E-mail Responsável Desbloqueio de ARs 
(usuário portal - 2)
60 caracteres
E-mail utilizado para Vincular usuários do Portal como responsável pelo desbloqueio dos cartões do endereço sinalizado.
Necessários que usuário seja criado no Portal do RH (Gerenciar Usuários)</t>
  </si>
  <si>
    <t xml:space="preserve">E-mail Responsável Desbloqueio de ARs 
(usuário portal - 3)
60 caracteres
E-mail utilizado para Vincular usuários do Portal como responsável pelo desbloqueio dos cartões do endereço sinalizado.
Necessários que usuário seja criado no Portal do RH (Gerenciar Usuários)</t>
  </si>
  <si>
    <t xml:space="preserve">CONDOMINIO EDIFICIO ORIENTE</t>
  </si>
  <si>
    <t xml:space="preserve">RUA</t>
  </si>
  <si>
    <t xml:space="preserve">WASHINGTON </t>
  </si>
  <si>
    <t xml:space="preserve">140</t>
  </si>
  <si>
    <t xml:space="preserve">4 ANDAR SALA 4</t>
  </si>
  <si>
    <t xml:space="preserve">VILA MAIA</t>
  </si>
  <si>
    <t xml:space="preserve">GUARUJA</t>
  </si>
  <si>
    <t xml:space="preserve">SP</t>
  </si>
  <si>
    <t xml:space="preserve">11410150</t>
  </si>
  <si>
    <t xml:space="preserve">BRUNO</t>
  </si>
  <si>
    <t xml:space="preserve">35315360000167</t>
  </si>
  <si>
    <t xml:space="preserve">vr@grupofedcorp.com.br</t>
  </si>
  <si>
    <t xml:space="preserve">CONDOMINIO EDIFICIO ISOLA D'ITALIA</t>
  </si>
  <si>
    <t xml:space="preserve">CONDOMINIO VARANDAS PITANGUEIRAS</t>
  </si>
  <si>
    <t xml:space="preserve">CONDOMINIO EDIFICIO SAFIRA </t>
  </si>
  <si>
    <t xml:space="preserve">CONDOMINIO EDIFICIO D PEDRO II</t>
  </si>
  <si>
    <t xml:space="preserve">CONDOMINIO EDIFICIO MONTEMAR </t>
  </si>
  <si>
    <t xml:space="preserve">CONDOMINIO EDIFICIO PATORUZU</t>
  </si>
  <si>
    <t xml:space="preserve">CONDOMINIO RESIDENCIAL ESCUNAS DO JUQUEY</t>
  </si>
  <si>
    <t xml:space="preserve">BERTIOGA FLAT SERVICE APART HOTEL</t>
  </si>
  <si>
    <t xml:space="preserve">00034481000156</t>
  </si>
  <si>
    <t xml:space="preserve">CONDOMINIO EDIFICIO COSTA BRAVA</t>
  </si>
  <si>
    <t xml:space="preserve">00034747000160</t>
  </si>
  <si>
    <t xml:space="preserve">CONDOMINIO MODU VIVENCI</t>
  </si>
  <si>
    <t xml:space="preserve">00123454000150</t>
  </si>
  <si>
    <t xml:space="preserve">CONDOMINIO EDIFICIO COMENDADOR LUI RUBIO</t>
  </si>
  <si>
    <t xml:space="preserve">00647515000188</t>
  </si>
  <si>
    <t xml:space="preserve">CONDOMINIO MORADAS DO SUL</t>
  </si>
  <si>
    <t xml:space="preserve">00654516000150</t>
  </si>
  <si>
    <t xml:space="preserve">CONDOMINIO EDIFICIO ITAMIRIM</t>
  </si>
  <si>
    <t xml:space="preserve">01035002000189</t>
  </si>
  <si>
    <t xml:space="preserve">CONDOMINIO EDIFICIO ASTURIAS STAR</t>
  </si>
  <si>
    <t xml:space="preserve">01114880000190</t>
  </si>
  <si>
    <t xml:space="preserve">CONDOMINIO GARAGE ASTURIAS</t>
  </si>
  <si>
    <t xml:space="preserve">01164902000126</t>
  </si>
  <si>
    <t xml:space="preserve">CONDOMINIO RESIDENCIAL SAVEIROS DO JUQUEY</t>
  </si>
  <si>
    <t xml:space="preserve">01281241000119</t>
  </si>
  <si>
    <t xml:space="preserve">CONDOMINIO EDIFICIO RIVIERA DEI FIORI</t>
  </si>
  <si>
    <t xml:space="preserve">02013683000147</t>
  </si>
  <si>
    <t xml:space="preserve">CONDOMINIO EDIFICIO BIARRITZ</t>
  </si>
  <si>
    <t xml:space="preserve">02644865000116</t>
  </si>
  <si>
    <t xml:space="preserve">CONDOMINIO RESIDENCIAL VELEIROS DO JUQUEY</t>
  </si>
  <si>
    <t xml:space="preserve">03163515000109</t>
  </si>
  <si>
    <t xml:space="preserve">CONDOMINIO UNA TROPICAL</t>
  </si>
  <si>
    <t xml:space="preserve">03511568000165</t>
  </si>
  <si>
    <t xml:space="preserve">EDIFICIO MIRAGE</t>
  </si>
  <si>
    <t xml:space="preserve">03513395000114</t>
  </si>
  <si>
    <t xml:space="preserve">CONDOMINIO EDIFICIO MONTE VERDE</t>
  </si>
  <si>
    <t xml:space="preserve">03719897000104</t>
  </si>
  <si>
    <t xml:space="preserve">CONDOMINIO EDIFICIO VILLA DI ROCCO</t>
  </si>
  <si>
    <t xml:space="preserve">03795916000173</t>
  </si>
  <si>
    <t xml:space="preserve">CONDOMINIO MASTER DO UNA</t>
  </si>
  <si>
    <t xml:space="preserve">04068695000102</t>
  </si>
  <si>
    <t xml:space="preserve">EDIFICIO MAISON CIRROSE</t>
  </si>
  <si>
    <t xml:space="preserve">04487702000100</t>
  </si>
  <si>
    <t xml:space="preserve">EDIFICIO MONTE HERMON</t>
  </si>
  <si>
    <t xml:space="preserve">04847211000115</t>
  </si>
  <si>
    <t xml:space="preserve">CONDOMINIO EDIFICIO VITORIA PARK</t>
  </si>
  <si>
    <t xml:space="preserve">06179767000106</t>
  </si>
  <si>
    <t xml:space="preserve">CONDOMÍNIO TROIA </t>
  </si>
  <si>
    <t xml:space="preserve">06696321000159</t>
  </si>
  <si>
    <t xml:space="preserve">CONDOMINIO EDIFICIO ALCATRAZES</t>
  </si>
  <si>
    <t xml:space="preserve">07861397000155</t>
  </si>
  <si>
    <t xml:space="preserve">CONDOMINIO EDIFICIO PORTO DO SOL</t>
  </si>
  <si>
    <t xml:space="preserve">08594272000179</t>
  </si>
  <si>
    <t xml:space="preserve">EDIFICIO URUGUAI</t>
  </si>
  <si>
    <t xml:space="preserve">08906910000140</t>
  </si>
  <si>
    <t xml:space="preserve">CONDOMINIO EDIFICIO PLAZA ELYSEE</t>
  </si>
  <si>
    <t xml:space="preserve">14672423000162</t>
  </si>
  <si>
    <t xml:space="preserve">EDIFICIO PORTO PRIMAVERA</t>
  </si>
  <si>
    <t xml:space="preserve">15356906000110</t>
  </si>
  <si>
    <t xml:space="preserve">CONDOMINIO RESIDENCIAL RECANTO DO UNA VISTA MAR</t>
  </si>
  <si>
    <t xml:space="preserve">18181831000172</t>
  </si>
  <si>
    <t xml:space="preserve">CONDOMINIO RESIDENCIAL FLAT ONDAS DE CAMBURI</t>
  </si>
  <si>
    <t xml:space="preserve">19476212000178</t>
  </si>
  <si>
    <t xml:space="preserve">CONDOMINIO RESIDENCIAL ILHA DA BALEIA</t>
  </si>
  <si>
    <t xml:space="preserve">28086971000115</t>
  </si>
  <si>
    <t xml:space="preserve">CONDOMINIO MONTE ALTO</t>
  </si>
  <si>
    <t xml:space="preserve">28497306000114</t>
  </si>
  <si>
    <t xml:space="preserve">EDIFICIO PUERTO MADERO</t>
  </si>
  <si>
    <t xml:space="preserve">39665669000138</t>
  </si>
  <si>
    <t xml:space="preserve">ACM PRIME OFFICES</t>
  </si>
  <si>
    <t xml:space="preserve">39730812000128</t>
  </si>
  <si>
    <t xml:space="preserve">CONDOMINIO BRISAS DO SAHY</t>
  </si>
  <si>
    <t xml:space="preserve">40174778000131</t>
  </si>
  <si>
    <t xml:space="preserve">CONDOMINIO EDIFICIO BUZIOS II</t>
  </si>
  <si>
    <t xml:space="preserve">45588813000182</t>
  </si>
  <si>
    <t xml:space="preserve">CONDOMINIO LAS PALMAS JUQUEHY</t>
  </si>
  <si>
    <t xml:space="preserve">50068640000101</t>
  </si>
  <si>
    <t xml:space="preserve">EDIFICIO LICO PRIME 3</t>
  </si>
  <si>
    <t xml:space="preserve">52257748000178</t>
  </si>
  <si>
    <t xml:space="preserve">CONDOMINIO EDIFICIO GARAGEM VELEIROS</t>
  </si>
  <si>
    <t xml:space="preserve">52258696000154</t>
  </si>
  <si>
    <t xml:space="preserve">CONDOMINIO EDIFICIO COSTA SMERALDA</t>
  </si>
  <si>
    <t xml:space="preserve">52258746000101</t>
  </si>
  <si>
    <t xml:space="preserve">CONDOMINIO EDIFICIO GUAIBE</t>
  </si>
  <si>
    <t xml:space="preserve">52259686000133</t>
  </si>
  <si>
    <t xml:space="preserve">CONDOMINIO EDIFICIO BRETAGNE</t>
  </si>
  <si>
    <t xml:space="preserve">52260064000125</t>
  </si>
  <si>
    <t xml:space="preserve">CONDOMINIO EDIFICIO ARGENTINA</t>
  </si>
  <si>
    <t xml:space="preserve">52260593000129</t>
  </si>
  <si>
    <t xml:space="preserve">CONDOMINIO EDIFICIO FLAVIA</t>
  </si>
  <si>
    <t xml:space="preserve">52260718000110</t>
  </si>
  <si>
    <t xml:space="preserve">CONDOMINIO EDIFICIO NICE</t>
  </si>
  <si>
    <t xml:space="preserve">52262391000116</t>
  </si>
  <si>
    <t xml:space="preserve">CONDOMINIO EDIFICIO MALINDI</t>
  </si>
  <si>
    <t xml:space="preserve">52262482000151</t>
  </si>
  <si>
    <t xml:space="preserve">CONDOMINIO DO EDIFICIO RESIDENCIAL ALEXANDRE</t>
  </si>
  <si>
    <t xml:space="preserve">52263183000131</t>
  </si>
  <si>
    <t xml:space="preserve">CONDOMINIO EDIFICIO MARILIA</t>
  </si>
  <si>
    <t xml:space="preserve">52263258000184</t>
  </si>
  <si>
    <t xml:space="preserve">CONDOMINIO EDIFICIO ILHA DE MIKONOS E ILHA DE DELOS</t>
  </si>
  <si>
    <t xml:space="preserve">52264025000104</t>
  </si>
  <si>
    <t xml:space="preserve">CONDOMINIO EDIFICIO LAGUNA</t>
  </si>
  <si>
    <t xml:space="preserve">52264033000142</t>
  </si>
  <si>
    <t xml:space="preserve">CONDOMINIO EDIFICIO IJUI</t>
  </si>
  <si>
    <t xml:space="preserve">52264181000167</t>
  </si>
  <si>
    <t xml:space="preserve">CONDOMINIO EDIFICIO ORLA</t>
  </si>
  <si>
    <t xml:space="preserve">52264660000183</t>
  </si>
  <si>
    <t xml:space="preserve">CONDOMINIO EDIFICIO PLAZA LAS BRISAS</t>
  </si>
  <si>
    <t xml:space="preserve">54343470000187</t>
  </si>
  <si>
    <t xml:space="preserve">CONDOMINIO EDIFICIO PRIMAVERA</t>
  </si>
  <si>
    <t xml:space="preserve">54343785000124</t>
  </si>
  <si>
    <t xml:space="preserve">CONDOMINIO EDIFICIO BURITI</t>
  </si>
  <si>
    <t xml:space="preserve">54345517000141</t>
  </si>
  <si>
    <t xml:space="preserve">CONDOMINIO EDIFICIO ESTORIL</t>
  </si>
  <si>
    <t xml:space="preserve">54345541000180</t>
  </si>
  <si>
    <t xml:space="preserve">CONDOMINIO EDIFICIO ILHAMARES</t>
  </si>
  <si>
    <t xml:space="preserve">54345780000130</t>
  </si>
  <si>
    <t xml:space="preserve">CONDOMINIO EDIFICO FLAMBOYANT</t>
  </si>
  <si>
    <t xml:space="preserve">54345954000165</t>
  </si>
  <si>
    <t xml:space="preserve">CONDOMINIO EDIFICIO ITAMACARE</t>
  </si>
  <si>
    <t xml:space="preserve">54346044000105</t>
  </si>
  <si>
    <t xml:space="preserve">CONDOMINIO EDIFICIO ELDORADO</t>
  </si>
  <si>
    <t xml:space="preserve">54346655000145</t>
  </si>
  <si>
    <t xml:space="preserve">CONDOMINIO EDIFICIO BARRA DO UNA</t>
  </si>
  <si>
    <t xml:space="preserve">54346952000190</t>
  </si>
  <si>
    <t xml:space="preserve">CONDOMINIO EDIFICIO SHANGRI LA</t>
  </si>
  <si>
    <t xml:space="preserve">54347604000138</t>
  </si>
  <si>
    <t xml:space="preserve">CONDOMINIO EDIFICIO MALU</t>
  </si>
  <si>
    <t xml:space="preserve">54347661000117</t>
  </si>
  <si>
    <t xml:space="preserve">CONDOMINIO EDIFICIO ELIANISE</t>
  </si>
  <si>
    <t xml:space="preserve">54347729000168</t>
  </si>
  <si>
    <t xml:space="preserve">CONDOMINIO EDIFICIO MARES DO SUL</t>
  </si>
  <si>
    <t xml:space="preserve">54347778000109</t>
  </si>
  <si>
    <t xml:space="preserve">CONDOMINIO EDIFICIO GUARAPIRANGA</t>
  </si>
  <si>
    <t xml:space="preserve">54357587000110</t>
  </si>
  <si>
    <t xml:space="preserve">CONDOMINIO EDIFICIO CAICARA</t>
  </si>
  <si>
    <t xml:space="preserve">54358809000119</t>
  </si>
  <si>
    <t xml:space="preserve">CONDOMINIO EDIFICIO SOLAR DOS AMIGOS</t>
  </si>
  <si>
    <t xml:space="preserve">55556526000144</t>
  </si>
  <si>
    <t xml:space="preserve">CONDOMINIO RESIDENCIAL PORTO DO UNA</t>
  </si>
  <si>
    <t xml:space="preserve">55677678000103</t>
  </si>
  <si>
    <t xml:space="preserve">CONDOMINIO EDIFICIO ARUBA</t>
  </si>
  <si>
    <t xml:space="preserve">55684591000155</t>
  </si>
  <si>
    <t xml:space="preserve">CONDOMINIO EDIFICIO NAVON</t>
  </si>
  <si>
    <t xml:space="preserve">57484778000130</t>
  </si>
  <si>
    <t xml:space="preserve">BRISA DO UNA SOCIEDADE SIMPLES DE ADMINISTRACAO DE BENS</t>
  </si>
  <si>
    <t xml:space="preserve">57729824000114</t>
  </si>
  <si>
    <t xml:space="preserve">CONDOMINIO EDIFICIO ESSEX</t>
  </si>
  <si>
    <t xml:space="preserve">57733909000176</t>
  </si>
  <si>
    <t xml:space="preserve">CONDOMINIO EDIFICIO MAYTE</t>
  </si>
  <si>
    <t xml:space="preserve">57734642000131</t>
  </si>
  <si>
    <t xml:space="preserve">CONDOMINIO EDIFICIO JARAGUA</t>
  </si>
  <si>
    <t xml:space="preserve">57737124000171</t>
  </si>
  <si>
    <t xml:space="preserve">COND ED SAMOA DO SUL</t>
  </si>
  <si>
    <t xml:space="preserve">57739138000124</t>
  </si>
  <si>
    <t xml:space="preserve">CONDOMINIO EDIFICIO TERRAZZA AL MARE</t>
  </si>
  <si>
    <t xml:space="preserve">60376910000103</t>
  </si>
  <si>
    <t xml:space="preserve">CONDOMINIO BARRA DO UNA COQUEIROS</t>
  </si>
  <si>
    <t xml:space="preserve">62297072000108</t>
  </si>
  <si>
    <t xml:space="preserve">CONDOMINIO EDIFICIO COSTA ATLANTICA I E II</t>
  </si>
  <si>
    <t xml:space="preserve">64038847000148</t>
  </si>
  <si>
    <t xml:space="preserve">CONDOMINIO EDIFICIO HERMON</t>
  </si>
  <si>
    <t xml:space="preserve">64039837000127</t>
  </si>
  <si>
    <t xml:space="preserve">EDIFICIO MARIA IZABEL</t>
  </si>
  <si>
    <t xml:space="preserve">64714249000141</t>
  </si>
  <si>
    <t xml:space="preserve">CONDOMINIO EDIFICIO ILHA BELA</t>
  </si>
  <si>
    <t xml:space="preserve">64721798000143</t>
  </si>
  <si>
    <t xml:space="preserve">COND ED MIRIAM</t>
  </si>
  <si>
    <t xml:space="preserve">64722028000115</t>
  </si>
  <si>
    <t xml:space="preserve">CONDOMINIO EDIF MARCELLA</t>
  </si>
  <si>
    <t xml:space="preserve">66497181000111</t>
  </si>
  <si>
    <t xml:space="preserve">CONDOMINIO EDIFICIO DONA ADELAIDE</t>
  </si>
  <si>
    <t xml:space="preserve">66503137000177</t>
  </si>
  <si>
    <t xml:space="preserve">CONDOMINIO EDIFICIO ARKANSAS</t>
  </si>
  <si>
    <t xml:space="preserve">66503491000100</t>
  </si>
  <si>
    <t xml:space="preserve">CONDOMINIO EDIFICIO PORTO ROTONDO</t>
  </si>
  <si>
    <t xml:space="preserve">67651109000160</t>
  </si>
  <si>
    <t xml:space="preserve">EDIFICIO O SOLAR DA BARRA</t>
  </si>
  <si>
    <t xml:space="preserve">68012418000152</t>
  </si>
  <si>
    <t xml:space="preserve">CONDOMINIO EDIFICIO BEBEDOURO</t>
  </si>
  <si>
    <t xml:space="preserve">68014737000105</t>
  </si>
  <si>
    <t xml:space="preserve">CONDOMINIO EDIFICIO GUADALAJARA</t>
  </si>
  <si>
    <t xml:space="preserve">68018373000123</t>
  </si>
  <si>
    <t xml:space="preserve">CONDOMINIO EDIFICIO BAHIA BLANCA I</t>
  </si>
  <si>
    <t xml:space="preserve">68019835000127</t>
  </si>
  <si>
    <t xml:space="preserve">CONDOMINIO EDIFICIO CANUANA</t>
  </si>
  <si>
    <t xml:space="preserve">68020841000102</t>
  </si>
  <si>
    <t xml:space="preserve">CONDOMINIO EDIFICIO PLAJAM X </t>
  </si>
  <si>
    <t xml:space="preserve">68026400000100</t>
  </si>
  <si>
    <t xml:space="preserve">CONDOMINIO EDIFICIO CENTURY</t>
  </si>
  <si>
    <t xml:space="preserve">68026822000185</t>
  </si>
  <si>
    <t xml:space="preserve">CONDOMÍNIO LINDOMAR</t>
  </si>
  <si>
    <t xml:space="preserve">71543938000104</t>
  </si>
  <si>
    <t xml:space="preserve">EDIFICIO CONGONHAS DO CAMPO</t>
  </si>
  <si>
    <t xml:space="preserve">71546584000143</t>
  </si>
  <si>
    <t xml:space="preserve">71547624000171</t>
  </si>
  <si>
    <t xml:space="preserve">CONDOMINIO EDIFICIO JARDIM DOS ANTURIOS</t>
  </si>
  <si>
    <t xml:space="preserve">71557185000188</t>
  </si>
  <si>
    <t xml:space="preserve">CONDOMINIO EDIFICIO GAIVOTA</t>
  </si>
  <si>
    <t xml:space="preserve">01184097000100</t>
  </si>
  <si>
    <t xml:space="preserve">CONDOMINIO SOL DE ESPANHA EDIFICIO GRANADA</t>
  </si>
  <si>
    <t xml:space="preserve">04018029000151</t>
  </si>
  <si>
    <t xml:space="preserve">CONDOMINIO EDIFICIO AIETA</t>
  </si>
  <si>
    <t xml:space="preserve">08636633000100</t>
  </si>
  <si>
    <t xml:space="preserve">CONDOMINIO EDIFICIO VITORIA</t>
  </si>
  <si>
    <t xml:space="preserve">54344791000104</t>
  </si>
  <si>
    <t xml:space="preserve">CONDOMINIO COTE D AZUR</t>
  </si>
  <si>
    <t xml:space="preserve">55071585000122</t>
  </si>
  <si>
    <t xml:space="preserve">OCEAN SKY CLUB</t>
  </si>
  <si>
    <t xml:space="preserve">57731549000173</t>
  </si>
  <si>
    <t xml:space="preserve">CONDOMINIO EDIFICIO ITAGUASSU E EDIFICIO ITAGUARE</t>
  </si>
  <si>
    <t xml:space="preserve">68025071000182</t>
  </si>
  <si>
    <t xml:space="preserve">EDIFICIO MARINER</t>
  </si>
  <si>
    <t xml:space="preserve">62296207000102</t>
  </si>
  <si>
    <t xml:space="preserve">EDIFICIO PATIO TROPICAL</t>
  </si>
  <si>
    <t xml:space="preserve">AVENIDA HORACIO LAFER</t>
  </si>
  <si>
    <t xml:space="preserve">370</t>
  </si>
  <si>
    <t xml:space="preserve">JARDIM TEGEREBA</t>
  </si>
  <si>
    <t xml:space="preserve">11430000</t>
  </si>
  <si>
    <t xml:space="preserve">Código centro custo*
máximo 12 caracteres
Código identificador do centro de custo criado pelo Cliente RH. 
Se o mesmo não estiver registrado, será criado, Caso já exista o centro de custo será atualizado de acordo com o registro enviado.</t>
  </si>
  <si>
    <t xml:space="preserve">Nome centro custo*
máximo 80 caracteres
Descritivo para o Centro de Custo.</t>
  </si>
  <si>
    <t xml:space="preserve">Nome Interlocutor
máximo 30 caracteres
Responsável pelo recebimento dos cartões dos Beneficiários no centro de custo. 
Se não for informado, será considerado o interlocutor responsável cadastrado no local de entrega</t>
  </si>
  <si>
    <t xml:space="preserve">ENSEADA</t>
  </si>
  <si>
    <t xml:space="preserve">CONDOMINIO EDIFICIO BIARRITZ ENSEADA</t>
  </si>
  <si>
    <t xml:space="preserve">CPF*
obrigatório 11 caracteres
Informar apenas números
Se o mesmo não estiver registrado, será criado 
Se já existir o Beneficiário será atualizado de acordo com o registro enviado </t>
  </si>
  <si>
    <t xml:space="preserve">Código local entrega*
máximo 30 caracteres
Informar o Código local de entrega do Beneficiário. Endereço da Empresa
Cadastrado na ABA Local de Entrega</t>
  </si>
  <si>
    <t xml:space="preserve">Código centro de custo
máximo 12 caracteres
Informar o Código de centro de custo do Beneficiário.
Cadastrado na ABA Centro de Custo</t>
  </si>
  <si>
    <t xml:space="preserve">Matrícula
máx. 10 caracteres
Caso Queira Informar a Matrícula do Funcionáirio</t>
  </si>
  <si>
    <t xml:space="preserve">Nome completo*
máximo 40 caracteres
Caso o nome ultrapasse o limite de Caracteres o pedido será rejeitado e iremos apontar qual o nome que excede o limite</t>
  </si>
  <si>
    <t xml:space="preserve">Nome Impressão Cartão
máximo 24 caracteres
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 (Abreviaremos o nome do Meio)</t>
  </si>
  <si>
    <t xml:space="preserve">Data Nascimento*
(DD/MM/AAAA)
Informar a data no formato dd/mm/aaaa </t>
  </si>
  <si>
    <t xml:space="preserve">Sexo
(M/F)
No preenchimento deve ser informado apenas a letra: M (Masculino) ou F (Feminino)</t>
  </si>
  <si>
    <t xml:space="preserve">Faixa Salarial
(seguir instuções de preenchimento)
Utilizado apenas para o Produto VR CULTURA Utilizar o formato indicado</t>
  </si>
  <si>
    <t xml:space="preserve">Produtos Padrão VR</t>
  </si>
  <si>
    <t xml:space="preserve">VR Multi</t>
  </si>
  <si>
    <t xml:space="preserve">Refeição
Valor do crédito
Infomar o valor do Beneficío, Não deve ser alterado o formato do campo caso possua centavos informa como o EX: 100,55</t>
  </si>
  <si>
    <t xml:space="preserve">Alimentação
Valor do crédito
Infomar o valor do Beneficío, Não deve ser alterado o formato do campo caso possua centavos informa como o EX: 100,55</t>
  </si>
  <si>
    <t xml:space="preserve">Auto
Valor do crédito
Infomar o valor do Beneficío, Não deve ser alterado o formato do campo caso possua centavos informa como o EX: 100,55</t>
  </si>
  <si>
    <t xml:space="preserve">Cultura
Valor do crédito
Infomar o valor do Beneficío, Não deve ser alterado o formato do campo caso possua centavos informa como o EX: 100,55</t>
  </si>
  <si>
    <t xml:space="preserve">Cesta
Valor do crédito
Infomar o valor do Beneficío, Não deve ser alterado o formato do campo caso possua centavos informa como o EX: 100,55</t>
  </si>
  <si>
    <t xml:space="preserve">Boas Festas
Valor do crédito
Infomar o valor do Beneficío, Não deve ser alterado o formato do campo caso possua centavos informa como o EX: 100,55</t>
  </si>
  <si>
    <t xml:space="preserve">Auxílio Alimentação
Valor do crédito
Infomar o valor do Beneficío, Não deve ser alterado o formato do campo caso possua centavos informa como o EX: 100,55</t>
  </si>
  <si>
    <t xml:space="preserve">Auxílio Refeição
Valor do crédito
Infomar o valor do Beneficío, Não deve ser alterado o formato do campo caso possua centavos informa como o EX: 100,55</t>
  </si>
  <si>
    <t xml:space="preserve">Multibenefícios
Valor do crédito
Infomar o valor do Beneficío, Não deve ser alterado o formato do campo caso possua centavos informa como o EX: 100,55</t>
  </si>
  <si>
    <t xml:space="preserve">Auxílio VR+VA
Valor do crédito
Infomar o valor do Beneficío, Não deve ser alterado o formato do campo caso possua centavos informa como o EX: 100,55</t>
  </si>
  <si>
    <t xml:space="preserve">Multi Refeição
Valor do crédito
Infomar o valor do Beneficío, Não deve ser alterado o formato do campo caso possua centavos informa como o EX: 100,56</t>
  </si>
  <si>
    <t xml:space="preserve">Multi Alimentação
 Valor do crédito
Infomar o valor do Beneficío, Não deve ser alterado o formato do campo caso possua centavos informa como o EX: 100,56</t>
  </si>
  <si>
    <t xml:space="preserve">Multi Auxílio Refeição
Valor do crédito
Infomar o valor do Beneficío, Não deve ser alterado o formato do campo caso possua centavos informa como o EX: 100,56</t>
  </si>
  <si>
    <t xml:space="preserve">Multi Auxílio Alimentação
Valor do crédito
Infomar o valor do Beneficío, Não deve ser alterado o formato do campo caso possua centavos informa como o EX: 100,56</t>
  </si>
  <si>
    <t xml:space="preserve">Multi Auxílio VR+VA
Valor do crédito
Infomar o valor do Beneficío, Não deve ser alterado o formato do campo caso possua centavos informa como o EX: 100,56</t>
  </si>
  <si>
    <t xml:space="preserve">Multi Home office
Valor do crédito
Infomar o valor do Beneficío, Não deve ser alterado o formato do campo caso possua centavos informa como o EX: 100,56</t>
  </si>
  <si>
    <t xml:space="preserve">Multi Mobilidade
Valor do crédito
Infomar o valor do Beneficío, Não deve ser alterado o formato do campo caso possua centavos informa como o EX: 100,56</t>
  </si>
  <si>
    <t xml:space="preserve">Multi Premiação
Valor do crédito
Infomar o valor do Beneficío, Não deve ser alterado o formato do campo caso possua centavos informa como o EX: 100,56</t>
  </si>
  <si>
    <t xml:space="preserve">04969091854</t>
  </si>
  <si>
    <t xml:space="preserve">CARLOS ALBERTO DO NASCIMENTO</t>
  </si>
  <si>
    <t xml:space="preserve">13359640888</t>
  </si>
  <si>
    <t xml:space="preserve">CLAUDEMIR BELÉM DO AMPARO</t>
  </si>
  <si>
    <t xml:space="preserve">40501138803</t>
  </si>
  <si>
    <t xml:space="preserve">DIOGO SALVIANO SOUSA DA SILVA </t>
  </si>
  <si>
    <t xml:space="preserve">23576755861</t>
  </si>
  <si>
    <t xml:space="preserve">GABRIEL LIMA RAMOS DE OLIVEIRA</t>
  </si>
  <si>
    <t xml:space="preserve">95990500378</t>
  </si>
  <si>
    <t xml:space="preserve">JOSE DIAS NETO</t>
  </si>
  <si>
    <t xml:space="preserve">41428966870</t>
  </si>
  <si>
    <t xml:space="preserve">MURILLO FERREIRA ALVARES</t>
  </si>
  <si>
    <t xml:space="preserve">00102263540</t>
  </si>
  <si>
    <t xml:space="preserve">ADEMILTON CRUZ DE SOUZA</t>
  </si>
  <si>
    <t xml:space="preserve">56947844568</t>
  </si>
  <si>
    <t xml:space="preserve">FLAVIO ARAUJO PINTO</t>
  </si>
  <si>
    <t xml:space="preserve">22/01/1965</t>
  </si>
  <si>
    <t xml:space="preserve">44506708504</t>
  </si>
  <si>
    <t xml:space="preserve">JOSENIAS CARVALHO DA CRUZ</t>
  </si>
  <si>
    <t xml:space="preserve">40753633841</t>
  </si>
  <si>
    <t xml:space="preserve">VITOR CARMO SANTOS</t>
  </si>
  <si>
    <t xml:space="preserve">18/08/1994</t>
  </si>
  <si>
    <t xml:space="preserve">46411274843</t>
  </si>
  <si>
    <t xml:space="preserve">JOAO PEDRO XAVIER</t>
  </si>
  <si>
    <t xml:space="preserve">28210436864</t>
  </si>
  <si>
    <t xml:space="preserve">JOSE DOMINGOS DOS ANJOS</t>
  </si>
  <si>
    <t xml:space="preserve">06044479498</t>
  </si>
  <si>
    <t xml:space="preserve">LUCIANO DE LIMA</t>
  </si>
  <si>
    <t xml:space="preserve">33543256823</t>
  </si>
  <si>
    <t xml:space="preserve">ROSILENE DOS SANTOS BASILIO</t>
  </si>
  <si>
    <t xml:space="preserve">47625131807</t>
  </si>
  <si>
    <t xml:space="preserve">JULIO CESAR SILVA SANTOS JUNIOR</t>
  </si>
  <si>
    <t xml:space="preserve">44065362806</t>
  </si>
  <si>
    <t xml:space="preserve">THIAGO BEZERRA DO NASCIMENTO</t>
  </si>
  <si>
    <t xml:space="preserve">51003608876</t>
  </si>
  <si>
    <t xml:space="preserve">VITOR HUGO DA SILVA PIMENTA</t>
  </si>
  <si>
    <t xml:space="preserve">08/10/2000</t>
  </si>
  <si>
    <t xml:space="preserve">53629342876</t>
  </si>
  <si>
    <t xml:space="preserve">CAIQUE DA SILVA FARIAS </t>
  </si>
  <si>
    <t xml:space="preserve">11059495910</t>
  </si>
  <si>
    <t xml:space="preserve">ELIAN HENRIQUE DOS SANTOS </t>
  </si>
  <si>
    <t xml:space="preserve">58102230959</t>
  </si>
  <si>
    <t xml:space="preserve">HERMES BOTEGAL</t>
  </si>
  <si>
    <t xml:space="preserve">13/11/1967</t>
  </si>
  <si>
    <t xml:space="preserve">14346857990</t>
  </si>
  <si>
    <t xml:space="preserve">MATEUS VIEIRA SANTOS </t>
  </si>
  <si>
    <t xml:space="preserve">05606215900</t>
  </si>
  <si>
    <t xml:space="preserve">RICARDO BOEING</t>
  </si>
  <si>
    <t xml:space="preserve">24/02/1985</t>
  </si>
  <si>
    <t xml:space="preserve">01840034076</t>
  </si>
  <si>
    <t xml:space="preserve">TIAGO PRESCHLAK</t>
  </si>
  <si>
    <t xml:space="preserve">23/12/1989</t>
  </si>
  <si>
    <t xml:space="preserve">33687319806</t>
  </si>
  <si>
    <t xml:space="preserve">CARLOS QUINTINO DE MELO SHIMIDT</t>
  </si>
  <si>
    <t xml:space="preserve">80268277400</t>
  </si>
  <si>
    <t xml:space="preserve">CLAUDIO OSCAR DA SILVA</t>
  </si>
  <si>
    <t xml:space="preserve">38208558826</t>
  </si>
  <si>
    <t xml:space="preserve">DAVID ALMEIDA DO ROSARIO</t>
  </si>
  <si>
    <t xml:space="preserve">09779623850</t>
  </si>
  <si>
    <t xml:space="preserve">HELIO LOPES DOS SANTOS</t>
  </si>
  <si>
    <t xml:space="preserve">49184349832</t>
  </si>
  <si>
    <t xml:space="preserve">JUAN PABLO MENIZES CRUZ</t>
  </si>
  <si>
    <t xml:space="preserve">35526359808</t>
  </si>
  <si>
    <t xml:space="preserve">LUIZ CARLOS DAS NEVES SILVA</t>
  </si>
  <si>
    <t xml:space="preserve">10019816855</t>
  </si>
  <si>
    <t xml:space="preserve">MANOEL BARBOSA MOREIRA</t>
  </si>
  <si>
    <t xml:space="preserve">09923750884</t>
  </si>
  <si>
    <t xml:space="preserve">SIDNEI DIAS DA SILVA</t>
  </si>
  <si>
    <t xml:space="preserve">36520802468</t>
  </si>
  <si>
    <t xml:space="preserve">CONDOMINIO DO EDIFICIO LINDOMAR</t>
  </si>
  <si>
    <t xml:space="preserve">JOAO CUSTODIO DA SILVA</t>
  </si>
  <si>
    <t xml:space="preserve">10/04/1964</t>
  </si>
  <si>
    <t xml:space="preserve">05956387831</t>
  </si>
  <si>
    <t xml:space="preserve">EXPEDITO BARBOSA MOREIRA</t>
  </si>
  <si>
    <t xml:space="preserve">01/08/1964</t>
  </si>
  <si>
    <t xml:space="preserve">41888538830</t>
  </si>
  <si>
    <t xml:space="preserve">RAFAEL ANTONIO QUERINO FERREIRA </t>
  </si>
  <si>
    <t xml:space="preserve">13/06/1992</t>
  </si>
  <si>
    <t xml:space="preserve">85084298434</t>
  </si>
  <si>
    <t xml:space="preserve">ANDRE CRUZ DE OLIVEIRA</t>
  </si>
  <si>
    <t xml:space="preserve">18/08/1968</t>
  </si>
  <si>
    <t xml:space="preserve">46054651897</t>
  </si>
  <si>
    <t xml:space="preserve">FABRICIO DOS SANTOS NASCIMENTO </t>
  </si>
  <si>
    <t xml:space="preserve">11/03/1994</t>
  </si>
  <si>
    <t xml:space="preserve">47319132842</t>
  </si>
  <si>
    <t xml:space="preserve">JOSE ELIAS FERREIRA DA SILVA</t>
  </si>
  <si>
    <t xml:space="preserve">43840525888</t>
  </si>
  <si>
    <t xml:space="preserve">LUCAS SOUZA DOS SANTOS</t>
  </si>
  <si>
    <t xml:space="preserve">13369305860</t>
  </si>
  <si>
    <t xml:space="preserve">LUIZ CARLOS DOS SANTOS</t>
  </si>
  <si>
    <t xml:space="preserve">28/11/1969</t>
  </si>
  <si>
    <t xml:space="preserve">52660829845</t>
  </si>
  <si>
    <t xml:space="preserve">LUIZ FELIPE BRAZ NASCIMENTO </t>
  </si>
  <si>
    <t xml:space="preserve">13383441881</t>
  </si>
  <si>
    <t xml:space="preserve">PEDRO SEVERINO DA SILVA</t>
  </si>
  <si>
    <t xml:space="preserve">25/05/1959</t>
  </si>
  <si>
    <t xml:space="preserve">34961538817</t>
  </si>
  <si>
    <t xml:space="preserve">RENATO DOS SANTOS SOUZA BEZERRA</t>
  </si>
  <si>
    <t xml:space="preserve">33036479848</t>
  </si>
  <si>
    <t xml:space="preserve">ANTONIO DE DEUS DA SILVA FILHO</t>
  </si>
  <si>
    <t xml:space="preserve">26061428880</t>
  </si>
  <si>
    <t xml:space="preserve">JAILTON ALVES DE LUCENA</t>
  </si>
  <si>
    <t xml:space="preserve">55565905400</t>
  </si>
  <si>
    <t xml:space="preserve">JOSÉ AUGUSTO DO NASCIMENTO</t>
  </si>
  <si>
    <t xml:space="preserve">53484177420</t>
  </si>
  <si>
    <t xml:space="preserve">SEVERINO GOMES DE SOUZA</t>
  </si>
  <si>
    <t xml:space="preserve">29331130821</t>
  </si>
  <si>
    <t xml:space="preserve">FLAVIO JEAN DE OLIVEIRA SILVA</t>
  </si>
  <si>
    <t xml:space="preserve">17/05/1981</t>
  </si>
  <si>
    <t xml:space="preserve">75985748472</t>
  </si>
  <si>
    <t xml:space="preserve">MARISTELA GUEDES DE OLIVEIRA MIRANDA</t>
  </si>
  <si>
    <t xml:space="preserve">23/10/1970</t>
  </si>
  <si>
    <t xml:space="preserve">37866529884</t>
  </si>
  <si>
    <t xml:space="preserve">ANDRE VICENTE DOS SANTOS</t>
  </si>
  <si>
    <t xml:space="preserve">22/08/1989</t>
  </si>
  <si>
    <t xml:space="preserve">90446003549</t>
  </si>
  <si>
    <t xml:space="preserve">ANAILTON GOMES DA SILVA</t>
  </si>
  <si>
    <t xml:space="preserve">33731700875</t>
  </si>
  <si>
    <t xml:space="preserve">MARCIO GUIMARAES</t>
  </si>
  <si>
    <t xml:space="preserve">14/06/1977</t>
  </si>
  <si>
    <t xml:space="preserve">23637379899</t>
  </si>
  <si>
    <t xml:space="preserve">TALISON DOS SANTOS ROCHA </t>
  </si>
  <si>
    <t xml:space="preserve">02894222483</t>
  </si>
  <si>
    <t xml:space="preserve">MARCOS DE OLIVEIRA CRUZ</t>
  </si>
  <si>
    <t xml:space="preserve">24/01/1972</t>
  </si>
  <si>
    <t xml:space="preserve">52890481549</t>
  </si>
  <si>
    <t xml:space="preserve">ADAILTON BISPO DOS REIS</t>
  </si>
  <si>
    <t xml:space="preserve">79206212320</t>
  </si>
  <si>
    <t xml:space="preserve">ANTONIO NATAL DE ARAUJO BARROSO</t>
  </si>
  <si>
    <t xml:space="preserve">36300883841</t>
  </si>
  <si>
    <t xml:space="preserve">EVERTON DOS SANTOS</t>
  </si>
  <si>
    <t xml:space="preserve">36148932865</t>
  </si>
  <si>
    <t xml:space="preserve">KAHUAN SANTOS DO NASCIMENTO</t>
  </si>
  <si>
    <t xml:space="preserve">47489221846</t>
  </si>
  <si>
    <t xml:space="preserve">SILVIO BARBOSA DE OLIVEIRA JUNIOR</t>
  </si>
  <si>
    <t xml:space="preserve">26601152811</t>
  </si>
  <si>
    <t xml:space="preserve">SHEILA RENATA DA PAZ</t>
  </si>
  <si>
    <t xml:space="preserve">19280053817</t>
  </si>
  <si>
    <t xml:space="preserve">LUCIANE DOS SANTOS </t>
  </si>
  <si>
    <t xml:space="preserve">02/01/1974</t>
  </si>
  <si>
    <t xml:space="preserve">91031486453</t>
  </si>
  <si>
    <t xml:space="preserve">ALBERTO DE SOUSA MARINHO</t>
  </si>
  <si>
    <t xml:space="preserve">21/11/1971</t>
  </si>
  <si>
    <t xml:space="preserve">01798547805</t>
  </si>
  <si>
    <t xml:space="preserve">ELIAS FELISMINO</t>
  </si>
  <si>
    <t xml:space="preserve">08146478476</t>
  </si>
  <si>
    <t xml:space="preserve">FRANCINALDO PEREIRA COSTA</t>
  </si>
  <si>
    <t xml:space="preserve">03621556400</t>
  </si>
  <si>
    <t xml:space="preserve">GILSON PEREIRA DE MELO</t>
  </si>
  <si>
    <t xml:space="preserve">07231485464</t>
  </si>
  <si>
    <t xml:space="preserve">JOALISON AIRES DA SILVA</t>
  </si>
  <si>
    <t xml:space="preserve">23/07/1986</t>
  </si>
  <si>
    <t xml:space="preserve">10834565803</t>
  </si>
  <si>
    <t xml:space="preserve">JOSE CARLOS VALIM</t>
  </si>
  <si>
    <t xml:space="preserve">04615739893</t>
  </si>
  <si>
    <t xml:space="preserve">JOSE LUIZ DOS SANTOS</t>
  </si>
  <si>
    <t xml:space="preserve">27/08/1962</t>
  </si>
  <si>
    <t xml:space="preserve">05807163338</t>
  </si>
  <si>
    <t xml:space="preserve">ARYELL DA COSTA FRAZAO </t>
  </si>
  <si>
    <t xml:space="preserve">52951806892</t>
  </si>
  <si>
    <t xml:space="preserve">HENRIQUE DA SILVA SOUZA</t>
  </si>
  <si>
    <t xml:space="preserve">17/04/2006</t>
  </si>
  <si>
    <t xml:space="preserve">51458618854</t>
  </si>
  <si>
    <t xml:space="preserve">ALISON GOMES DA SILVA</t>
  </si>
  <si>
    <t xml:space="preserve">08057194820</t>
  </si>
  <si>
    <t xml:space="preserve">EDUARDO GARCIA</t>
  </si>
  <si>
    <t xml:space="preserve">20/05/1965</t>
  </si>
  <si>
    <t xml:space="preserve">49981235806</t>
  </si>
  <si>
    <t xml:space="preserve">GABRIEL BRITO DA CONCEIÇÃO</t>
  </si>
  <si>
    <t xml:space="preserve">51178639843</t>
  </si>
  <si>
    <t xml:space="preserve">GUILHERME DA SILVA GARCIA</t>
  </si>
  <si>
    <t xml:space="preserve">16/05/2000</t>
  </si>
  <si>
    <t xml:space="preserve">39603732877</t>
  </si>
  <si>
    <t xml:space="preserve">ODAIR JOSE CARDOSO DA SILVA</t>
  </si>
  <si>
    <t xml:space="preserve">26733445867</t>
  </si>
  <si>
    <t xml:space="preserve">RODRIGO GARCIA</t>
  </si>
  <si>
    <t xml:space="preserve">28/08/1977</t>
  </si>
  <si>
    <t xml:space="preserve">84366966620</t>
  </si>
  <si>
    <t xml:space="preserve">REGINALDO DE SOUZA GUERRA</t>
  </si>
  <si>
    <t xml:space="preserve">15/01/1974</t>
  </si>
  <si>
    <t xml:space="preserve">26472337802</t>
  </si>
  <si>
    <t xml:space="preserve">CASSIO REIS DOS SANTOS</t>
  </si>
  <si>
    <t xml:space="preserve">04702318403</t>
  </si>
  <si>
    <t xml:space="preserve">JOSE MARCIO EDUARDO DA SILVA</t>
  </si>
  <si>
    <t xml:space="preserve">27/03/1982</t>
  </si>
  <si>
    <t xml:space="preserve">03645251421</t>
  </si>
  <si>
    <t xml:space="preserve">GENILSON DE AMORIM SILVA</t>
  </si>
  <si>
    <t xml:space="preserve">17/07/1980</t>
  </si>
  <si>
    <t xml:space="preserve">13372082800</t>
  </si>
  <si>
    <t xml:space="preserve">MARIA APARECIDA PIMENTEL DOS SANTOS</t>
  </si>
  <si>
    <t xml:space="preserve">14/02/1970</t>
  </si>
  <si>
    <t xml:space="preserve">25891312832</t>
  </si>
  <si>
    <t xml:space="preserve">MARINALVA LAURENTINO DA SILVA</t>
  </si>
  <si>
    <t xml:space="preserve">20/01/1978</t>
  </si>
  <si>
    <t xml:space="preserve">25069659472</t>
  </si>
  <si>
    <t xml:space="preserve">LUIS ILDEFONSO</t>
  </si>
  <si>
    <t xml:space="preserve">20010083847</t>
  </si>
  <si>
    <t xml:space="preserve">AGNALDO CORREA</t>
  </si>
  <si>
    <t xml:space="preserve">39082785897</t>
  </si>
  <si>
    <t xml:space="preserve">ALAN ROCHA DA CRUZ SOUSA</t>
  </si>
  <si>
    <t xml:space="preserve">30/01/1992</t>
  </si>
  <si>
    <t xml:space="preserve">33983129854</t>
  </si>
  <si>
    <t xml:space="preserve">ALBERTO CABRAL</t>
  </si>
  <si>
    <t xml:space="preserve">28/02/1985</t>
  </si>
  <si>
    <t xml:space="preserve">67743501434</t>
  </si>
  <si>
    <t xml:space="preserve">ALDO DOMINGOS CAVALCANTE</t>
  </si>
  <si>
    <t xml:space="preserve">20/04/1963</t>
  </si>
  <si>
    <t xml:space="preserve">00055163408</t>
  </si>
  <si>
    <t xml:space="preserve">JOSE JAILSON DE PONTES </t>
  </si>
  <si>
    <t xml:space="preserve">35144934803</t>
  </si>
  <si>
    <t xml:space="preserve">LUIZ GUSTAVO VIEIRA CRUZ</t>
  </si>
  <si>
    <t xml:space="preserve">20/12/1994</t>
  </si>
  <si>
    <t xml:space="preserve">02481354494</t>
  </si>
  <si>
    <t xml:space="preserve">MANOEL JOZINALDO DE PONTES</t>
  </si>
  <si>
    <t xml:space="preserve">43736867859</t>
  </si>
  <si>
    <t xml:space="preserve">PAULO VITOR SANTOS DA SILVA</t>
  </si>
  <si>
    <t xml:space="preserve">43107871850</t>
  </si>
  <si>
    <t xml:space="preserve">WILLIAM MELQUIDES SOUZA</t>
  </si>
  <si>
    <t xml:space="preserve">52478572320</t>
  </si>
  <si>
    <t xml:space="preserve">MARIA ESCOLATE DOS SANTOS SILVA</t>
  </si>
  <si>
    <t xml:space="preserve">09773873803</t>
  </si>
  <si>
    <t xml:space="preserve">MARCO AURELIO ABAD</t>
  </si>
  <si>
    <t xml:space="preserve">25/04/1969</t>
  </si>
  <si>
    <t xml:space="preserve">04434166808</t>
  </si>
  <si>
    <t xml:space="preserve">JAILTON VITOR DOS SANTOS</t>
  </si>
  <si>
    <t xml:space="preserve">19/04/1962</t>
  </si>
  <si>
    <t xml:space="preserve">80533345472</t>
  </si>
  <si>
    <t xml:space="preserve">IRANDI SANTOS GOMES</t>
  </si>
  <si>
    <t xml:space="preserve">03245867441</t>
  </si>
  <si>
    <t xml:space="preserve">CARLOS ANTONIO ALVES IRINEU</t>
  </si>
  <si>
    <t xml:space="preserve">26/06/1976</t>
  </si>
  <si>
    <t xml:space="preserve">19757446831</t>
  </si>
  <si>
    <t xml:space="preserve">ADEILDO DE ALMEIDA SILVA </t>
  </si>
  <si>
    <t xml:space="preserve">08/01/1975</t>
  </si>
  <si>
    <t xml:space="preserve">95111964568</t>
  </si>
  <si>
    <t xml:space="preserve">ANTONIO DE JESUS MATOS</t>
  </si>
  <si>
    <t xml:space="preserve">22/11/1973</t>
  </si>
  <si>
    <t xml:space="preserve">11925145484</t>
  </si>
  <si>
    <t xml:space="preserve">CLEDIELSON DA SILVA SANTOS BORGES</t>
  </si>
  <si>
    <t xml:space="preserve">31/05/1994</t>
  </si>
  <si>
    <t xml:space="preserve">45057726838</t>
  </si>
  <si>
    <t xml:space="preserve">DANIEL OLIVEIRA DA SILVA </t>
  </si>
  <si>
    <t xml:space="preserve">09791415838</t>
  </si>
  <si>
    <t xml:space="preserve">MARCELO GOMES SOUSA </t>
  </si>
  <si>
    <t xml:space="preserve">88342786820</t>
  </si>
  <si>
    <t xml:space="preserve">MARIO BASTOS DOS SANTOS</t>
  </si>
  <si>
    <t xml:space="preserve">22/07/1956</t>
  </si>
  <si>
    <t xml:space="preserve">36644916880</t>
  </si>
  <si>
    <t xml:space="preserve">ALDAIR JOSÉ DE VASCONCELOS </t>
  </si>
  <si>
    <t xml:space="preserve">37131476803</t>
  </si>
  <si>
    <t xml:space="preserve">ALEXANDRE JOSE GUIMARAES</t>
  </si>
  <si>
    <t xml:space="preserve">28041995</t>
  </si>
  <si>
    <t xml:space="preserve">33393245813</t>
  </si>
  <si>
    <t xml:space="preserve">ANDERSON RODRIGUES DOS SANTOS</t>
  </si>
  <si>
    <t xml:space="preserve">33415024830</t>
  </si>
  <si>
    <t xml:space="preserve">EDUARDO CRUZ</t>
  </si>
  <si>
    <t xml:space="preserve">13/07/1981</t>
  </si>
  <si>
    <t xml:space="preserve">38338623865</t>
  </si>
  <si>
    <t xml:space="preserve">MARCOS PAULO AVELINO DOS SANTOS </t>
  </si>
  <si>
    <t xml:space="preserve">40984994874</t>
  </si>
  <si>
    <t xml:space="preserve">RAFAEL SILVA MOURA</t>
  </si>
  <si>
    <t xml:space="preserve">35086994802</t>
  </si>
  <si>
    <t xml:space="preserve">THIAGO OLIVEIRA DA SILVA</t>
  </si>
  <si>
    <t xml:space="preserve">42834418802</t>
  </si>
  <si>
    <t xml:space="preserve">ERIC CARVALHO MIRANDA</t>
  </si>
  <si>
    <t xml:space="preserve">42207325865</t>
  </si>
  <si>
    <t xml:space="preserve">FAGNER BISPO SANTOS</t>
  </si>
  <si>
    <t xml:space="preserve">27579011840</t>
  </si>
  <si>
    <t xml:space="preserve">FRANCISCO ROBERTO DE BRITO </t>
  </si>
  <si>
    <t xml:space="preserve">12119321841</t>
  </si>
  <si>
    <t xml:space="preserve">GILSON DOS SANTOS SILVA </t>
  </si>
  <si>
    <t xml:space="preserve">38957497889</t>
  </si>
  <si>
    <t xml:space="preserve">LEONIS AUGUSTO DE SOUZA</t>
  </si>
  <si>
    <t xml:space="preserve">39329193862</t>
  </si>
  <si>
    <t xml:space="preserve">MICKE CANDIDO DE BRITO</t>
  </si>
  <si>
    <t xml:space="preserve">33162218837</t>
  </si>
  <si>
    <t xml:space="preserve">RONALDO BEZERRA DOS SANTOS </t>
  </si>
  <si>
    <t xml:space="preserve">25087077838</t>
  </si>
  <si>
    <t xml:space="preserve">WAGNER MENEZES DE MELO</t>
  </si>
  <si>
    <t xml:space="preserve">02162756447</t>
  </si>
  <si>
    <t xml:space="preserve">JOSE CARLOS SOUSA DE ARAUJO</t>
  </si>
  <si>
    <t xml:space="preserve">21/03/1976</t>
  </si>
  <si>
    <t xml:space="preserve">95881875400</t>
  </si>
  <si>
    <t xml:space="preserve">AILTON DE LIMA PAZ</t>
  </si>
  <si>
    <t xml:space="preserve">42663583855</t>
  </si>
  <si>
    <t xml:space="preserve">LUIZ FELIPE DE PAULA SILVA</t>
  </si>
  <si>
    <t xml:space="preserve">23/11/1991</t>
  </si>
  <si>
    <t xml:space="preserve">91647711487</t>
  </si>
  <si>
    <t xml:space="preserve">ARISMAR DIAS DE SOUZA</t>
  </si>
  <si>
    <t xml:space="preserve">31/07/1974</t>
  </si>
  <si>
    <t xml:space="preserve">31792930801</t>
  </si>
  <si>
    <t xml:space="preserve">ERIVALDO MOREIRA DA SILVA</t>
  </si>
  <si>
    <t xml:space="preserve">51107998816</t>
  </si>
  <si>
    <t xml:space="preserve">GUSTAVO HENRIQUE SANTOS DE SOUZA</t>
  </si>
  <si>
    <t xml:space="preserve">27562519846</t>
  </si>
  <si>
    <t xml:space="preserve">JOSE DA GUIA DE SOUSA LIMA</t>
  </si>
  <si>
    <t xml:space="preserve">25/06/1977</t>
  </si>
  <si>
    <t xml:space="preserve">09773771806</t>
  </si>
  <si>
    <t xml:space="preserve">MARCELO MOREIRA DE MELO</t>
  </si>
  <si>
    <t xml:space="preserve">33366512806</t>
  </si>
  <si>
    <t xml:space="preserve">JOSE APARECIDO DE SOUZA</t>
  </si>
  <si>
    <t xml:space="preserve">15912422828</t>
  </si>
  <si>
    <t xml:space="preserve">AUGUSTO COSTA JUNIOR</t>
  </si>
  <si>
    <t xml:space="preserve">88554970578</t>
  </si>
  <si>
    <t xml:space="preserve">ADAILTON GOMES DA SILVA</t>
  </si>
  <si>
    <t xml:space="preserve">27/01/1977</t>
  </si>
  <si>
    <t xml:space="preserve">28346062850</t>
  </si>
  <si>
    <t xml:space="preserve">ARNOR QUEIROZ DOS SANTOS JUNIOR</t>
  </si>
  <si>
    <t xml:space="preserve">93086849568</t>
  </si>
  <si>
    <t xml:space="preserve">GIVANILDO SOUZA CORREIA</t>
  </si>
  <si>
    <t xml:space="preserve">29/10/1976</t>
  </si>
  <si>
    <t xml:space="preserve">10947767509</t>
  </si>
  <si>
    <t xml:space="preserve">KAUA DOS SANTOS</t>
  </si>
  <si>
    <t xml:space="preserve">15/11/2001</t>
  </si>
  <si>
    <t xml:space="preserve">13368762478</t>
  </si>
  <si>
    <t xml:space="preserve">LEANDRO EDSON SILVA PEDRO </t>
  </si>
  <si>
    <t xml:space="preserve">37817199876</t>
  </si>
  <si>
    <t xml:space="preserve">LUCIVANIA BEZERRA DOS SANTOS</t>
  </si>
  <si>
    <t xml:space="preserve">42549002873</t>
  </si>
  <si>
    <t xml:space="preserve">WILLIAN APARECIDO SANTOS BRITO</t>
  </si>
  <si>
    <t xml:space="preserve">00738789526</t>
  </si>
  <si>
    <t xml:space="preserve">ADRIANO CORREIA DE SOUZA</t>
  </si>
  <si>
    <t xml:space="preserve">30447045881</t>
  </si>
  <si>
    <t xml:space="preserve">ALEXANDRE JOSE DA SILVA</t>
  </si>
  <si>
    <t xml:space="preserve">29/06/1981</t>
  </si>
  <si>
    <t xml:space="preserve">44086613840</t>
  </si>
  <si>
    <t xml:space="preserve">CARLOS MIGUEL RAMOS DA COSTA</t>
  </si>
  <si>
    <t xml:space="preserve">28/08/1995</t>
  </si>
  <si>
    <t xml:space="preserve">46011048404</t>
  </si>
  <si>
    <t xml:space="preserve">FRANCISCO DE ASSIS DOS SANTOS</t>
  </si>
  <si>
    <t xml:space="preserve">27011421807</t>
  </si>
  <si>
    <t xml:space="preserve">JENIVAL SANTANA SILVA</t>
  </si>
  <si>
    <t xml:space="preserve">23/03/1975</t>
  </si>
  <si>
    <t xml:space="preserve">33597775810</t>
  </si>
  <si>
    <t xml:space="preserve">JOSENALDO DE SOUSA LIMA</t>
  </si>
  <si>
    <t xml:space="preserve">20/01/1985</t>
  </si>
  <si>
    <t xml:space="preserve">10428435467</t>
  </si>
  <si>
    <t xml:space="preserve">ANTONIO SILVA GOMES</t>
  </si>
  <si>
    <t xml:space="preserve">37864262449</t>
  </si>
  <si>
    <t xml:space="preserve">EVANILDO FIGUEIREDO XAVIER</t>
  </si>
  <si>
    <t xml:space="preserve">15/06/1963</t>
  </si>
  <si>
    <t xml:space="preserve">43747035434</t>
  </si>
  <si>
    <t xml:space="preserve">JOSE RENATO NUNES SANTOS</t>
  </si>
  <si>
    <t xml:space="preserve">21/09/1963</t>
  </si>
  <si>
    <t xml:space="preserve">29585452880</t>
  </si>
  <si>
    <t xml:space="preserve">CLAUDINO OLIVEIRA DE BARROS</t>
  </si>
  <si>
    <t xml:space="preserve">12141626811</t>
  </si>
  <si>
    <t xml:space="preserve">DORGIVAL QUEIROZ GUEDES</t>
  </si>
  <si>
    <t xml:space="preserve">47100144850</t>
  </si>
  <si>
    <t xml:space="preserve">DYLAN DOS SANTOS SOUZA</t>
  </si>
  <si>
    <t xml:space="preserve">31505326800</t>
  </si>
  <si>
    <t xml:space="preserve">EDSON PONCE DA SILVA</t>
  </si>
  <si>
    <t xml:space="preserve">71971831549</t>
  </si>
  <si>
    <t xml:space="preserve">ELENILTON ROQUE DE JESUS</t>
  </si>
  <si>
    <t xml:space="preserve">59933127420</t>
  </si>
  <si>
    <t xml:space="preserve">FRANCISCO JOSE DA SILVA</t>
  </si>
  <si>
    <t xml:space="preserve">52101235889</t>
  </si>
  <si>
    <t xml:space="preserve">MAYCON CAETANO DA SILVA </t>
  </si>
  <si>
    <t xml:space="preserve">02546332503</t>
  </si>
  <si>
    <t xml:space="preserve">MOACIR ALMEIDA SOUZA FILHO</t>
  </si>
  <si>
    <t xml:space="preserve">20/09/1985</t>
  </si>
  <si>
    <t xml:space="preserve">33754229893</t>
  </si>
  <si>
    <t xml:space="preserve">WAGNER NUNES DE CARVALHO</t>
  </si>
  <si>
    <t xml:space="preserve">01802288899</t>
  </si>
  <si>
    <t xml:space="preserve">JOSE ALEXANDRE FERREIRA</t>
  </si>
  <si>
    <t xml:space="preserve">24/09/1957</t>
  </si>
  <si>
    <t xml:space="preserve">12131446802</t>
  </si>
  <si>
    <t xml:space="preserve">EMERSON MATOS DE GODOY</t>
  </si>
  <si>
    <t xml:space="preserve">13/07/1973</t>
  </si>
  <si>
    <t xml:space="preserve">08293870800</t>
  </si>
  <si>
    <t xml:space="preserve">ANTONIO GALDINO DOS SANTOS</t>
  </si>
  <si>
    <t xml:space="preserve">45426548854</t>
  </si>
  <si>
    <t xml:space="preserve">GERSON APARECIDO ANDRADE DOS SANTOS</t>
  </si>
  <si>
    <t xml:space="preserve">22/01/1995</t>
  </si>
  <si>
    <t xml:space="preserve">10415466881</t>
  </si>
  <si>
    <t xml:space="preserve">JOSE ANTONIO DA SILVA</t>
  </si>
  <si>
    <t xml:space="preserve">26/12/1967</t>
  </si>
  <si>
    <t xml:space="preserve">09066610808</t>
  </si>
  <si>
    <t xml:space="preserve">MARIA APARECIDA PINHEIRO PEREIRA</t>
  </si>
  <si>
    <t xml:space="preserve">51281872849</t>
  </si>
  <si>
    <t xml:space="preserve">THIAGO ROBERTO DA SILVA </t>
  </si>
  <si>
    <t xml:space="preserve">32549178807</t>
  </si>
  <si>
    <t xml:space="preserve">CLEIDINALDO DOS SANTOS</t>
  </si>
  <si>
    <t xml:space="preserve">34439602860</t>
  </si>
  <si>
    <t xml:space="preserve">DANIEL DE SOUSA</t>
  </si>
  <si>
    <t xml:space="preserve">24093848890</t>
  </si>
  <si>
    <t xml:space="preserve">DIEGO CASTRO DOS SANTOS </t>
  </si>
  <si>
    <t xml:space="preserve">36300887839</t>
  </si>
  <si>
    <t xml:space="preserve">DOMICIO DE JESUS SILVA</t>
  </si>
  <si>
    <t xml:space="preserve">15/09/1987</t>
  </si>
  <si>
    <t xml:space="preserve">32440977829</t>
  </si>
  <si>
    <t xml:space="preserve">MARCIO DOS SANTOS FRANCISCO</t>
  </si>
  <si>
    <t xml:space="preserve">20/03/1984</t>
  </si>
  <si>
    <t xml:space="preserve">10188313800</t>
  </si>
  <si>
    <t xml:space="preserve">PEDRO PAULO SARAIVA DA SILVA </t>
  </si>
  <si>
    <t xml:space="preserve">28/09/1967</t>
  </si>
  <si>
    <t xml:space="preserve">30746491867</t>
  </si>
  <si>
    <t xml:space="preserve">MOZART JOSE DA SILVA</t>
  </si>
  <si>
    <t xml:space="preserve">21/04/1982</t>
  </si>
  <si>
    <t xml:space="preserve">51313771880</t>
  </si>
  <si>
    <t xml:space="preserve">DANIEL PAIXAO DA SILVA </t>
  </si>
  <si>
    <t xml:space="preserve">30018101810</t>
  </si>
  <si>
    <t xml:space="preserve">EDNALDO DA SILVA DIAS</t>
  </si>
  <si>
    <t xml:space="preserve">16/04/1981</t>
  </si>
  <si>
    <t xml:space="preserve">05816034863</t>
  </si>
  <si>
    <t xml:space="preserve">GILMARIO GOMES DO NASCIMENTO</t>
  </si>
  <si>
    <t xml:space="preserve">60919914500</t>
  </si>
  <si>
    <t xml:space="preserve">GILROBSON DOS SANTOS</t>
  </si>
  <si>
    <t xml:space="preserve">40915148803</t>
  </si>
  <si>
    <t xml:space="preserve">JONATHAS SANTOS DE SOUZA VASCONCELOS</t>
  </si>
  <si>
    <t xml:space="preserve">18/08/1990</t>
  </si>
  <si>
    <t xml:space="preserve">00334887895</t>
  </si>
  <si>
    <t xml:space="preserve">JOSE LUIZ MACHADO DE OLIVEIRA</t>
  </si>
  <si>
    <t xml:space="preserve">17/03/1958</t>
  </si>
  <si>
    <t xml:space="preserve">51428873449</t>
  </si>
  <si>
    <t xml:space="preserve">RONALDO PEREIRA DA SILVA</t>
  </si>
  <si>
    <t xml:space="preserve">33718625857</t>
  </si>
  <si>
    <t xml:space="preserve">DAVID JUNIOR DOS SANTOS </t>
  </si>
  <si>
    <t xml:space="preserve">46661919841</t>
  </si>
  <si>
    <t xml:space="preserve">EDINEI NASCIMENTO DOS SANTOS</t>
  </si>
  <si>
    <t xml:space="preserve">37732554892</t>
  </si>
  <si>
    <t xml:space="preserve">JOHNNY ANDERSON DA SILVA FERREIRA </t>
  </si>
  <si>
    <t xml:space="preserve">30859110818</t>
  </si>
  <si>
    <t xml:space="preserve">MARIVALDO FRANCISCO DE FARIAS </t>
  </si>
  <si>
    <t xml:space="preserve">47222158472</t>
  </si>
  <si>
    <t xml:space="preserve">PAULO DOS SANTOS SILVA</t>
  </si>
  <si>
    <t xml:space="preserve">73233625804</t>
  </si>
  <si>
    <t xml:space="preserve">ALUIZIO PEREIRA DE SOUZA</t>
  </si>
  <si>
    <t xml:space="preserve">27/07/1951</t>
  </si>
  <si>
    <t xml:space="preserve">13398813810</t>
  </si>
  <si>
    <t xml:space="preserve">FLAVIO DONIZETE DO ROZARIO FLORINDO</t>
  </si>
  <si>
    <t xml:space="preserve">22/06/1972</t>
  </si>
  <si>
    <t xml:space="preserve">02748234464</t>
  </si>
  <si>
    <t xml:space="preserve">JOSE DOS SANTOS AVELINO</t>
  </si>
  <si>
    <t xml:space="preserve">21/12/1977</t>
  </si>
  <si>
    <t xml:space="preserve">06661201886</t>
  </si>
  <si>
    <t xml:space="preserve">MARIA DE FATIMA ARAUJO SOUZA</t>
  </si>
  <si>
    <t xml:space="preserve">19/06/1955</t>
  </si>
  <si>
    <t xml:space="preserve">28773000809</t>
  </si>
  <si>
    <t xml:space="preserve">ANDERSON RAIMUNDO DA SILVA</t>
  </si>
  <si>
    <t xml:space="preserve">12120323810</t>
  </si>
  <si>
    <t xml:space="preserve">FRANCISCO LOPES DOS SANTOS</t>
  </si>
  <si>
    <t xml:space="preserve">13424060879</t>
  </si>
  <si>
    <t xml:space="preserve">JOSE EDMILDO BATISTA DE SOUSA</t>
  </si>
  <si>
    <t xml:space="preserve">31/07/1967</t>
  </si>
  <si>
    <t xml:space="preserve">19756965819</t>
  </si>
  <si>
    <t xml:space="preserve">MARCELO MARCOS DE SOUZA</t>
  </si>
  <si>
    <t xml:space="preserve">47722235840</t>
  </si>
  <si>
    <t xml:space="preserve">JOEL IZAQUE PINTO DOS SANTOS</t>
  </si>
  <si>
    <t xml:space="preserve">29836780831</t>
  </si>
  <si>
    <t xml:space="preserve">JOSE ADENILDO DOS SANTOS ALVES</t>
  </si>
  <si>
    <t xml:space="preserve">17/01/1980</t>
  </si>
  <si>
    <t xml:space="preserve">28500323876</t>
  </si>
  <si>
    <t xml:space="preserve">JOSE PEDRO DA SILVA JUNIOR</t>
  </si>
  <si>
    <t xml:space="preserve">23934811841</t>
  </si>
  <si>
    <t xml:space="preserve">KAIKI AUGUSTO SOUZA DOS SANTOS</t>
  </si>
  <si>
    <t xml:space="preserve">31/05/2001</t>
  </si>
  <si>
    <t xml:space="preserve">29633057884</t>
  </si>
  <si>
    <t xml:space="preserve">RODRIGO AMBROSIO ALVES</t>
  </si>
  <si>
    <t xml:space="preserve">30/08/1982</t>
  </si>
  <si>
    <t xml:space="preserve">25718331898</t>
  </si>
  <si>
    <t xml:space="preserve">ELIANA LEAO DA SILVA NASCIMENTO</t>
  </si>
  <si>
    <t xml:space="preserve">40479061823</t>
  </si>
  <si>
    <t xml:space="preserve">PATRICK MATHEUS COSTA ARAUJO </t>
  </si>
  <si>
    <t xml:space="preserve">02/04/1993</t>
  </si>
  <si>
    <t xml:space="preserve">13356823841</t>
  </si>
  <si>
    <t xml:space="preserve">ALDA COSTA DOS SANTOS</t>
  </si>
  <si>
    <t xml:space="preserve">10199520836</t>
  </si>
  <si>
    <t xml:space="preserve">LUCIMARY ALMEIDA DOS SANTOS</t>
  </si>
  <si>
    <t xml:space="preserve">02552192459</t>
  </si>
  <si>
    <t xml:space="preserve">AGAMENON AMANCIO ALVES</t>
  </si>
  <si>
    <t xml:space="preserve">26/05/1977</t>
  </si>
  <si>
    <t xml:space="preserve">29440784881</t>
  </si>
  <si>
    <t xml:space="preserve">AGUINALDO JOSÉ DA SILVA</t>
  </si>
  <si>
    <t xml:space="preserve">28/12/1980</t>
  </si>
  <si>
    <t xml:space="preserve">07962993405</t>
  </si>
  <si>
    <t xml:space="preserve">JOSIAS DE GODOY SILVA</t>
  </si>
  <si>
    <t xml:space="preserve">10830822801</t>
  </si>
  <si>
    <t xml:space="preserve">LUIZ CARLOS DANTAS </t>
  </si>
  <si>
    <t xml:space="preserve">46806857515</t>
  </si>
  <si>
    <t xml:space="preserve">ZENILDO SANTOS SILVA</t>
  </si>
  <si>
    <t xml:space="preserve">28/10/1967</t>
  </si>
  <si>
    <t xml:space="preserve">38501953334</t>
  </si>
  <si>
    <t xml:space="preserve">ANTONIO RUBENIO REBOUCAS DE OLIVEIRA</t>
  </si>
  <si>
    <t xml:space="preserve">62536451534</t>
  </si>
  <si>
    <t xml:space="preserve">JACKSON NASCIMENTO SANTOS</t>
  </si>
  <si>
    <t xml:space="preserve">20/09/1973</t>
  </si>
  <si>
    <t xml:space="preserve">99670879434</t>
  </si>
  <si>
    <t xml:space="preserve">JOSE ADERIVALDO FERREIRA</t>
  </si>
  <si>
    <t xml:space="preserve">38302599808</t>
  </si>
  <si>
    <t xml:space="preserve">JOSE EDUARDO VIEIRA DE ALMEIDA</t>
  </si>
  <si>
    <t xml:space="preserve">21/06/1988</t>
  </si>
  <si>
    <t xml:space="preserve">40738694851</t>
  </si>
  <si>
    <t xml:space="preserve">TATIANE CARVALHO SOUZA</t>
  </si>
  <si>
    <t xml:space="preserve">14/05/1991</t>
  </si>
  <si>
    <t xml:space="preserve">78998425491</t>
  </si>
  <si>
    <t xml:space="preserve">CICERO JORGE DO NASCIMENTO</t>
  </si>
  <si>
    <t xml:space="preserve">18/11/1968</t>
  </si>
  <si>
    <t xml:space="preserve">51851437894</t>
  </si>
  <si>
    <t xml:space="preserve">GUILHERME CRUZ DA GAMA </t>
  </si>
  <si>
    <t xml:space="preserve">43450175807</t>
  </si>
  <si>
    <t xml:space="preserve">GUILHERME SILVA DOS SANTOS</t>
  </si>
  <si>
    <t xml:space="preserve">17/01/1993</t>
  </si>
  <si>
    <t xml:space="preserve">37488316843</t>
  </si>
  <si>
    <t xml:space="preserve">KLEBER FLORIANO DE SALES</t>
  </si>
  <si>
    <t xml:space="preserve">12896556850</t>
  </si>
  <si>
    <t xml:space="preserve">ROBERTO FIDELIS DOS SANTOS</t>
  </si>
  <si>
    <t xml:space="preserve">17/09/1968</t>
  </si>
  <si>
    <t xml:space="preserve">08049642895</t>
  </si>
  <si>
    <t xml:space="preserve">CLAUDEMAR MARTINS DA COSTA </t>
  </si>
  <si>
    <t xml:space="preserve">25/11/1965</t>
  </si>
  <si>
    <t xml:space="preserve">09691218577</t>
  </si>
  <si>
    <t xml:space="preserve">JOSÉ ELIAS DOS SANTOS </t>
  </si>
  <si>
    <t xml:space="preserve">05922344528</t>
  </si>
  <si>
    <t xml:space="preserve">LUCAS DE JESUS CAMILO</t>
  </si>
  <si>
    <t xml:space="preserve">48907235600</t>
  </si>
  <si>
    <t xml:space="preserve">WILLIAN ANTONIO DE FREITAS </t>
  </si>
  <si>
    <t xml:space="preserve">27/03/1964</t>
  </si>
  <si>
    <t xml:space="preserve">11805397451</t>
  </si>
  <si>
    <t xml:space="preserve">JOAO PEDRO DE LUNA SANTOS </t>
  </si>
  <si>
    <t xml:space="preserve">01/06/1999</t>
  </si>
  <si>
    <t xml:space="preserve">42322926833</t>
  </si>
  <si>
    <t xml:space="preserve">LUCAS DOS SANTOS ALVES</t>
  </si>
  <si>
    <t xml:space="preserve">49598643468</t>
  </si>
  <si>
    <t xml:space="preserve">MANOEL FERRAZ DOS SANTOS</t>
  </si>
  <si>
    <t xml:space="preserve">14/10/1964</t>
  </si>
  <si>
    <t xml:space="preserve">08439801840</t>
  </si>
  <si>
    <t xml:space="preserve">PAULO SERGIO BORGETH</t>
  </si>
  <si>
    <t xml:space="preserve">26233426871</t>
  </si>
  <si>
    <t xml:space="preserve">FRANCINALDO RODRIGUES DA SILVA</t>
  </si>
  <si>
    <t xml:space="preserve">26/03/1975</t>
  </si>
  <si>
    <t xml:space="preserve">09306541880</t>
  </si>
  <si>
    <t xml:space="preserve">ERIVAN SILVA ANDRADE</t>
  </si>
  <si>
    <t xml:space="preserve">27702165898</t>
  </si>
  <si>
    <t xml:space="preserve">MAURO SERGIO DE SOUZA</t>
  </si>
  <si>
    <t xml:space="preserve">02552321879</t>
  </si>
  <si>
    <t xml:space="preserve">PAULO SANTOS QUEIROZ</t>
  </si>
  <si>
    <t xml:space="preserve">23/11/1959</t>
  </si>
  <si>
    <t xml:space="preserve">70205881408</t>
  </si>
  <si>
    <t xml:space="preserve">TIAGO SEVERO DA COSTA </t>
  </si>
  <si>
    <t xml:space="preserve">27811916800</t>
  </si>
  <si>
    <t xml:space="preserve">CONDOMINIO EDIFICIO TERRAZZA AL MARE </t>
  </si>
  <si>
    <t xml:space="preserve">EDILSON ROCHA INACIO</t>
  </si>
  <si>
    <t xml:space="preserve">25070393880</t>
  </si>
  <si>
    <t xml:space="preserve">ELIEDES CAMPOS GRANJA </t>
  </si>
  <si>
    <t xml:space="preserve">27547085881</t>
  </si>
  <si>
    <t xml:space="preserve">CLAUDENILDO BATISTA DE SOUZA</t>
  </si>
  <si>
    <t xml:space="preserve">24461755894</t>
  </si>
  <si>
    <t xml:space="preserve">DAVI DO NASCIMENTO NOGUEIRA</t>
  </si>
  <si>
    <t xml:space="preserve">55868358864</t>
  </si>
  <si>
    <t xml:space="preserve">FABRICIO DA SILVA FELISMINO</t>
  </si>
  <si>
    <t xml:space="preserve">31946752819</t>
  </si>
  <si>
    <t xml:space="preserve">JOSE GIVANILDO MAIA SILVA</t>
  </si>
  <si>
    <t xml:space="preserve">24022399805</t>
  </si>
  <si>
    <t xml:space="preserve">LEONARDO SILVA DA CRUZ</t>
  </si>
  <si>
    <t xml:space="preserve">50253888808</t>
  </si>
  <si>
    <t xml:space="preserve">LUCAS ALEXANDRE MEDEIROS </t>
  </si>
  <si>
    <t xml:space="preserve">01143194306</t>
  </si>
  <si>
    <t xml:space="preserve">IZAIAS INACIO DE SÁ</t>
  </si>
  <si>
    <t xml:space="preserve">84648473191</t>
  </si>
  <si>
    <t xml:space="preserve">CLAUDIONOR  PEREIRA DE SOUZA</t>
  </si>
  <si>
    <t xml:space="preserve">25910593811</t>
  </si>
  <si>
    <t xml:space="preserve">GILBERTO GALDINO DOS SANTOS </t>
  </si>
  <si>
    <t xml:space="preserve">16/06/1969</t>
  </si>
  <si>
    <t xml:space="preserve">90265424453</t>
  </si>
  <si>
    <t xml:space="preserve">JORGE BARBOSA DA COSTA </t>
  </si>
  <si>
    <t xml:space="preserve">07794481546</t>
  </si>
  <si>
    <t xml:space="preserve">CAIQUE MARINHO DA SILVA</t>
  </si>
  <si>
    <t xml:space="preserve">56516061572</t>
  </si>
  <si>
    <t xml:space="preserve">ADILSON DA SILVA SANTOS</t>
  </si>
  <si>
    <t xml:space="preserve">17/01/1971</t>
  </si>
  <si>
    <t xml:space="preserve">12140826884</t>
  </si>
  <si>
    <t xml:space="preserve">CELSO DOS SANTOS MENEZES </t>
  </si>
  <si>
    <t xml:space="preserve">02396449486</t>
  </si>
  <si>
    <t xml:space="preserve">EDVANIO DE ALMEIDA BARBOSA </t>
  </si>
  <si>
    <t xml:space="preserve">05198775860</t>
  </si>
  <si>
    <t xml:space="preserve">JOSE CICERO PEREIRA DOS SANTOS </t>
  </si>
  <si>
    <t xml:space="preserve">92873243449</t>
  </si>
  <si>
    <t xml:space="preserve">JOSE ERIVAN DOS ANJOS GOUVEIA </t>
  </si>
  <si>
    <t xml:space="preserve">05240297410</t>
  </si>
  <si>
    <t xml:space="preserve">JOSE MARCELO BARROS DA SILVA </t>
  </si>
  <si>
    <t xml:space="preserve">05138063421</t>
  </si>
  <si>
    <t xml:space="preserve">JOSE CICERO FEITOSA</t>
  </si>
  <si>
    <t xml:space="preserve">02280069458</t>
  </si>
  <si>
    <t xml:space="preserve">ELIZIO DOMINGOS DOS ANJOS</t>
  </si>
  <si>
    <t xml:space="preserve">00962458406</t>
  </si>
  <si>
    <t xml:space="preserve">CLEIVAN DE CARVALHO ALMEIDA</t>
  </si>
  <si>
    <t xml:space="preserve">30/10/1978</t>
  </si>
  <si>
    <t xml:space="preserve">52123947830</t>
  </si>
  <si>
    <t xml:space="preserve">ITALO RAMOS DE LIMA </t>
  </si>
  <si>
    <t xml:space="preserve">02519556480</t>
  </si>
  <si>
    <t xml:space="preserve">JOAO DE CARVALHO</t>
  </si>
  <si>
    <t xml:space="preserve">14/10/1977</t>
  </si>
  <si>
    <t xml:space="preserve">83210385300</t>
  </si>
  <si>
    <t xml:space="preserve">JOSE ADAILDON DA SILVA PAES LANDIM</t>
  </si>
  <si>
    <t xml:space="preserve">04542441504</t>
  </si>
  <si>
    <t xml:space="preserve">ODAILTON SANTOS SERAFIM DA CRUZ</t>
  </si>
  <si>
    <t xml:space="preserve">54212676877</t>
  </si>
  <si>
    <t xml:space="preserve">FELIPE RAFAEL NIENDICKER</t>
  </si>
  <si>
    <t xml:space="preserve">18/03/2005</t>
  </si>
  <si>
    <t xml:space="preserve">33552854800</t>
  </si>
  <si>
    <t xml:space="preserve">ORLANDO RODRIGUES LEITE</t>
  </si>
  <si>
    <t xml:space="preserve">27/04/1982</t>
  </si>
  <si>
    <t xml:space="preserve">04642409998</t>
  </si>
  <si>
    <t xml:space="preserve">PAULO RAFAEL NIENDICKER</t>
  </si>
  <si>
    <t xml:space="preserve">25896271816</t>
  </si>
  <si>
    <t xml:space="preserve">AMAURI DA COSTA</t>
  </si>
  <si>
    <t xml:space="preserve">49130643805</t>
  </si>
  <si>
    <t xml:space="preserve">DANIEL DE SOUZA LESGOME</t>
  </si>
  <si>
    <t xml:space="preserve">22/05/1994</t>
  </si>
  <si>
    <t xml:space="preserve">01357613105</t>
  </si>
  <si>
    <t xml:space="preserve">EDUARDO DIAS DA SILVA </t>
  </si>
  <si>
    <t xml:space="preserve">54633889893</t>
  </si>
  <si>
    <t xml:space="preserve">MIQUEIAS SACRAMENTO SANTOS </t>
  </si>
  <si>
    <t xml:space="preserve">49052015864</t>
  </si>
  <si>
    <t xml:space="preserve">VAGNER BATISTA CARVALHO</t>
  </si>
  <si>
    <t xml:space="preserve">25/07/1997</t>
  </si>
  <si>
    <t xml:space="preserve">58931269803</t>
  </si>
  <si>
    <t xml:space="preserve">CARLOS DANIEL ANDRADE DE OLIVEIRA </t>
  </si>
  <si>
    <t xml:space="preserve">58980293895</t>
  </si>
  <si>
    <t xml:space="preserve">CARLOS EMANUEL DE OLIVEIRA</t>
  </si>
  <si>
    <t xml:space="preserve">05535698806</t>
  </si>
  <si>
    <t xml:space="preserve">DENILSON LEITE BITENCOURT</t>
  </si>
  <si>
    <t xml:space="preserve">07696320840</t>
  </si>
  <si>
    <t xml:space="preserve">ESPEDITO DE OLIVEIRA MENDES </t>
  </si>
  <si>
    <t xml:space="preserve">01498707360</t>
  </si>
  <si>
    <t xml:space="preserve">JARDEL ALMEIDA DE ABREU</t>
  </si>
  <si>
    <t xml:space="preserve">29335039802</t>
  </si>
  <si>
    <t xml:space="preserve">MARCELO RIBEIRO GONÇALVES </t>
  </si>
  <si>
    <t xml:space="preserve">04537290536</t>
  </si>
  <si>
    <t xml:space="preserve">ADAILSON SANTOS SERAFIM DA CRUZ</t>
  </si>
  <si>
    <t xml:space="preserve">38021533838</t>
  </si>
  <si>
    <t xml:space="preserve">DANILO MENDES SANTOS</t>
  </si>
  <si>
    <t xml:space="preserve">21/04/1988</t>
  </si>
  <si>
    <t xml:space="preserve">15027016859</t>
  </si>
  <si>
    <t xml:space="preserve">DOMINGOS JOSE DOS SANTOS </t>
  </si>
  <si>
    <t xml:space="preserve">37371845854</t>
  </si>
  <si>
    <t xml:space="preserve">GUSTAVO DOS SANTOS LIMA</t>
  </si>
  <si>
    <t xml:space="preserve">27/05/1986</t>
  </si>
  <si>
    <t xml:space="preserve">95549480425</t>
  </si>
  <si>
    <t xml:space="preserve">JOSE LINDOMAR DOS ANJOS</t>
  </si>
  <si>
    <t xml:space="preserve">86898782541</t>
  </si>
  <si>
    <t xml:space="preserve">LUAN SOUZA RAMOS</t>
  </si>
  <si>
    <t xml:space="preserve">02543851500</t>
  </si>
  <si>
    <t xml:space="preserve">MARCOS ANSELMO SANTOS SOUZA</t>
  </si>
  <si>
    <t xml:space="preserve">12796058557</t>
  </si>
  <si>
    <t xml:space="preserve">MARRONE JESUS NOVAIS </t>
  </si>
  <si>
    <t xml:space="preserve">33045565832</t>
  </si>
  <si>
    <t xml:space="preserve">MAURO SANTOS SOUZA</t>
  </si>
  <si>
    <t xml:space="preserve">31089106807</t>
  </si>
  <si>
    <t xml:space="preserve">EDMILSON JESUS DA SILVA</t>
  </si>
  <si>
    <t xml:space="preserve">28/01/1977</t>
  </si>
  <si>
    <t xml:space="preserve">34269754591</t>
  </si>
  <si>
    <t xml:space="preserve">EDVALDO NOVAES DOS SANTOS</t>
  </si>
  <si>
    <t xml:space="preserve">24/03/1962</t>
  </si>
  <si>
    <t xml:space="preserve">52497143587</t>
  </si>
  <si>
    <t xml:space="preserve">JAOBE BRAZ DOS SANTOS</t>
  </si>
  <si>
    <t xml:space="preserve">58336850520</t>
  </si>
  <si>
    <t xml:space="preserve">JOSE CARLOS DE JESUS SOUSA</t>
  </si>
  <si>
    <t xml:space="preserve">24914472821</t>
  </si>
  <si>
    <t xml:space="preserve">JURACI DA SILVA PAES LANDIM</t>
  </si>
  <si>
    <t xml:space="preserve">29/10/1973</t>
  </si>
  <si>
    <t xml:space="preserve">43287439880</t>
  </si>
  <si>
    <t xml:space="preserve">ERIC GUIMARAES FRANCISCO </t>
  </si>
  <si>
    <t xml:space="preserve">86269682487</t>
  </si>
  <si>
    <t xml:space="preserve">FRANCISCO DE ASSIS MACEDO</t>
  </si>
  <si>
    <t xml:space="preserve">47610914878</t>
  </si>
  <si>
    <t xml:space="preserve">LEONARDO VITOR DOS SANTOS SILVA</t>
  </si>
  <si>
    <t xml:space="preserve">04743799570</t>
  </si>
  <si>
    <t xml:space="preserve">RAFAEL OLIVEIRA MOTA </t>
  </si>
  <si>
    <t xml:space="preserve">53777104876</t>
  </si>
  <si>
    <t xml:space="preserve">WESLLEY SILVA DE OLIVEIRA</t>
  </si>
  <si>
    <t xml:space="preserve">17/02/2004</t>
  </si>
  <si>
    <t xml:space="preserve">36320712848</t>
  </si>
  <si>
    <t xml:space="preserve">ISABELLY DOS SANTOS </t>
  </si>
  <si>
    <t xml:space="preserve">29/05/1986</t>
  </si>
  <si>
    <t xml:space="preserve">29061212820</t>
  </si>
  <si>
    <t xml:space="preserve">CONDOMINIO TROIA </t>
  </si>
  <si>
    <t xml:space="preserve">MARIA DO SOCORRO DE SOUZA LAUREANO </t>
  </si>
  <si>
    <t xml:space="preserve">17/06/1978</t>
  </si>
  <si>
    <t xml:space="preserve">26532088811</t>
  </si>
  <si>
    <t xml:space="preserve">ALOISIO DOS SANTOS</t>
  </si>
  <si>
    <t xml:space="preserve">42133971300</t>
  </si>
  <si>
    <t xml:space="preserve">CARLOS DA SILVA PACHECO</t>
  </si>
  <si>
    <t xml:space="preserve">12488182613</t>
  </si>
  <si>
    <t xml:space="preserve">CARLOS MEDINA DE SOUZA </t>
  </si>
  <si>
    <t xml:space="preserve">78687179472</t>
  </si>
  <si>
    <t xml:space="preserve">ELIEZER DOMINGOS DOS ANJOS</t>
  </si>
  <si>
    <t xml:space="preserve">24/04/1972</t>
  </si>
  <si>
    <t xml:space="preserve">33694748830</t>
  </si>
  <si>
    <t xml:space="preserve">GILVANIO BRUNO MAIA</t>
  </si>
  <si>
    <t xml:space="preserve">09938003516</t>
  </si>
  <si>
    <t xml:space="preserve">JOSÉ CARLOS SOUZA ASSIS</t>
  </si>
  <si>
    <t xml:space="preserve">07688268532</t>
  </si>
  <si>
    <t xml:space="preserve">LEANDRO DA SILVA DE JESUS </t>
  </si>
  <si>
    <t xml:space="preserve">26989604859</t>
  </si>
  <si>
    <t xml:space="preserve">MARCOS PAULO MENDES PEREIRA</t>
  </si>
  <si>
    <t xml:space="preserve">44351035838</t>
  </si>
  <si>
    <t xml:space="preserve">RAFAEL DOS SANTOS BRANDAO</t>
  </si>
  <si>
    <t xml:space="preserve">38291356882</t>
  </si>
  <si>
    <t xml:space="preserve">WILLAN DOCHA DOS SANTOS </t>
  </si>
  <si>
    <t xml:space="preserve">31/08/1987</t>
  </si>
  <si>
    <t xml:space="preserve">17054335708</t>
  </si>
  <si>
    <t xml:space="preserve">EDUARDO SANTOS DA ROCHA </t>
  </si>
  <si>
    <t xml:space="preserve">27964265806</t>
  </si>
  <si>
    <t xml:space="preserve">ERIVALDO SANTOS DE MATOS</t>
  </si>
  <si>
    <t xml:space="preserve">10/09/1978</t>
  </si>
  <si>
    <t xml:space="preserve">50301290814</t>
  </si>
  <si>
    <t xml:space="preserve">JOAO VICTOR FAUSTINO</t>
  </si>
  <si>
    <t xml:space="preserve">30/07/1999</t>
  </si>
  <si>
    <t xml:space="preserve">30911528806</t>
  </si>
  <si>
    <t xml:space="preserve">MARCELO JOSE DOS SANTOS</t>
  </si>
  <si>
    <t xml:space="preserve">03/04/1982</t>
  </si>
  <si>
    <t xml:space="preserve">51480095869</t>
  </si>
  <si>
    <t xml:space="preserve">MARCELO THIAGO DE SOUZA</t>
  </si>
  <si>
    <t xml:space="preserve">17/01/1998</t>
  </si>
  <si>
    <t xml:space="preserve">31704918812</t>
  </si>
  <si>
    <t xml:space="preserve">CARLOS ALBERTO DE OLIVEIRA CRUZ JUNIOR</t>
  </si>
  <si>
    <t xml:space="preserve">15913951867</t>
  </si>
  <si>
    <t xml:space="preserve">ANGELIO DOS SANTOS BATISTA</t>
  </si>
  <si>
    <t xml:space="preserve">24/06/1969</t>
  </si>
  <si>
    <t xml:space="preserve">19682734843</t>
  </si>
  <si>
    <t xml:space="preserve">JOSÉ CARLOS DA SILVA </t>
  </si>
  <si>
    <t xml:space="preserve">16/10/1974</t>
  </si>
  <si>
    <t xml:space="preserve">53959519893</t>
  </si>
  <si>
    <t xml:space="preserve">RENAN SILVA DE ANDRADE</t>
  </si>
  <si>
    <t xml:space="preserve">19/06/2005</t>
  </si>
  <si>
    <t xml:space="preserve">23924166803</t>
  </si>
  <si>
    <t xml:space="preserve">VANDERLEI OLIVEIRA MOREIRA</t>
  </si>
  <si>
    <t xml:space="preserve">35331907814</t>
  </si>
  <si>
    <t xml:space="preserve">DIEGO WILKER DE LIMA SANTOS </t>
  </si>
  <si>
    <t xml:space="preserve">28/05/1995</t>
  </si>
  <si>
    <t xml:space="preserve">85209490378</t>
  </si>
  <si>
    <t xml:space="preserve">JOSE DO NASCIMENTO DA SILVA ROCHA</t>
  </si>
  <si>
    <t xml:space="preserve">07251051354</t>
  </si>
  <si>
    <t xml:space="preserve">KALIL SILVA ROCHA</t>
  </si>
  <si>
    <t xml:space="preserve">15/04/2002</t>
  </si>
  <si>
    <t xml:space="preserve">29786475828</t>
  </si>
  <si>
    <t xml:space="preserve">WALTER ATAIDE DA SILVA</t>
  </si>
  <si>
    <t xml:space="preserve">16954622893</t>
  </si>
  <si>
    <t xml:space="preserve">ADRIANO FLORENCIO BARBOSA</t>
  </si>
  <si>
    <t xml:space="preserve">24/01/1974</t>
  </si>
  <si>
    <t xml:space="preserve">34855362883</t>
  </si>
  <si>
    <t xml:space="preserve">FABRICIO ALVES SANTOS BRASIL </t>
  </si>
  <si>
    <t xml:space="preserve">13373809894</t>
  </si>
  <si>
    <t xml:space="preserve">JOSE GINALDO DE OLIVEIRA </t>
  </si>
  <si>
    <t xml:space="preserve">27023259805</t>
  </si>
  <si>
    <t xml:space="preserve">MARCIO TEIXEIRA DO AMARAL</t>
  </si>
  <si>
    <t xml:space="preserve">17/08/1978</t>
  </si>
  <si>
    <t xml:space="preserve">81288042434</t>
  </si>
  <si>
    <t xml:space="preserve">ELIALDO BARBOSA DE MOURA</t>
  </si>
  <si>
    <t xml:space="preserve">01139370405</t>
  </si>
  <si>
    <t xml:space="preserve">GENILEIDE DA SILVA SOARES</t>
  </si>
  <si>
    <t xml:space="preserve">30308493842</t>
  </si>
  <si>
    <t xml:space="preserve">EDIVAN DE SOUSA</t>
  </si>
  <si>
    <t xml:space="preserve">16/04/1980</t>
  </si>
  <si>
    <t xml:space="preserve">25123036830</t>
  </si>
  <si>
    <t xml:space="preserve">ALESSANDRO GOMES DE SOUZA </t>
  </si>
  <si>
    <t xml:space="preserve">25540022823</t>
  </si>
  <si>
    <t xml:space="preserve">CLAUDIO ARAUJO DE SOUZA</t>
  </si>
  <si>
    <t xml:space="preserve">25073791894</t>
  </si>
  <si>
    <t xml:space="preserve">MARCONE BEZERRA BERTO</t>
  </si>
  <si>
    <t xml:space="preserve">05202312873</t>
  </si>
  <si>
    <t xml:space="preserve">RAIMUNDO ROBERTO DE LIMA</t>
  </si>
  <si>
    <t xml:space="preserve">23262376841</t>
  </si>
  <si>
    <t xml:space="preserve">RICARDO DE ALMEIDA</t>
  </si>
  <si>
    <t xml:space="preserve">21/10/1978</t>
  </si>
  <si>
    <t xml:space="preserve">05703678323</t>
  </si>
  <si>
    <t xml:space="preserve">FRANCISCO DAS CHAGAS DO NASCIMENTO</t>
  </si>
  <si>
    <t xml:space="preserve">26/12/1992</t>
  </si>
  <si>
    <t xml:space="preserve">26258854400</t>
  </si>
  <si>
    <t xml:space="preserve">CICERO CARLOS DE OLIVEIRA JUNIOR </t>
  </si>
  <si>
    <t xml:space="preserve">25/09/1961</t>
  </si>
  <si>
    <t xml:space="preserve">30149634889</t>
  </si>
  <si>
    <t xml:space="preserve">LEIDIANE BRITO LEAL DE ALMEIDA</t>
  </si>
  <si>
    <t xml:space="preserve">49634170811</t>
  </si>
  <si>
    <t xml:space="preserve">WELLINGTON LIMA DOS SANTOS</t>
  </si>
  <si>
    <t xml:space="preserve">21/05/1998</t>
  </si>
  <si>
    <t xml:space="preserve">06635664360</t>
  </si>
  <si>
    <t xml:space="preserve">CICERO ELIVELTON GOMES</t>
  </si>
  <si>
    <t xml:space="preserve">43989972880</t>
  </si>
  <si>
    <t xml:space="preserve">LUCAS DE SOUZA SILVA</t>
  </si>
  <si>
    <t xml:space="preserve">37308449890</t>
  </si>
  <si>
    <t xml:space="preserve">MARCILIO RODRIGUES DE SOUSA</t>
  </si>
  <si>
    <t xml:space="preserve">21/12/1982</t>
  </si>
  <si>
    <t xml:space="preserve">30325581827</t>
  </si>
  <si>
    <t xml:space="preserve">ODAIR DOS SANTOS DE SOUZA</t>
  </si>
  <si>
    <t xml:space="preserve">19/02/1982</t>
  </si>
  <si>
    <t xml:space="preserve">75163942387</t>
  </si>
  <si>
    <t xml:space="preserve">JOSE WILSON INACIO DE BRITO </t>
  </si>
  <si>
    <t xml:space="preserve">22/12/1975</t>
  </si>
  <si>
    <t xml:space="preserve">07625637700</t>
  </si>
  <si>
    <t xml:space="preserve">JEFERSON BORGES </t>
  </si>
  <si>
    <t xml:space="preserve">12/05/1975 </t>
  </si>
  <si>
    <t xml:space="preserve">Identificação*
máximo 40 caracteres
Nome de Identificação, obrigatório para envio de benefícios a um cartão provisório.
Este nome será a identificação no Portal</t>
  </si>
  <si>
    <t xml:space="preserve">Nome Impressão Cartão
máximo 24 caracteres
Nome do Provisório que será impresso no cartão (não utilizar caracteres especiais: acentos, pontos, vírgula, dentre outros)
</t>
  </si>
  <si>
    <t xml:space="preserve">Refeição
Valor do crédito
Informar o valor do Beneficio, Não deve ser alterado o formato do campo caso possua centavos informa como o EX: 100,55</t>
  </si>
  <si>
    <t xml:space="preserve">Alimentação
Valor do crédito
Informar o valor do Beneficio, Não deve ser alterado o formato do campo caso possua centavos informa como o EX: 100,55</t>
  </si>
  <si>
    <t xml:space="preserve">Auto
Valor do crédito
Informar o valor do Beneficio, Não deve ser alterado o formato do campo caso possua centavos informa como o EX: 100,55</t>
  </si>
  <si>
    <t xml:space="preserve">Cesta
Valor do crédito
Informar o valor do Beneficio, Não deve ser alterado o formato do campo caso possua centavos informa como o EX: 100,55</t>
  </si>
  <si>
    <t xml:space="preserve">Boas Festas
Valor do crédito
Informar o valor do Beneficio, Não deve ser alterado o formato do campo caso possua centavos informa como o EX: 100,55</t>
  </si>
  <si>
    <t xml:space="preserve">Auxílio Alimentação
Valor do crédito
Informar o valor do Beneficio, Não deve ser alterado o formato do campo caso possua centavos informa como o EX: 100,55</t>
  </si>
  <si>
    <t xml:space="preserve">Auxílio Refeição
Valor do crédito
Informar o valor do Beneficio, Não deve ser alterado o formato do campo caso possua centavos informa como o EX: 100,55</t>
  </si>
  <si>
    <t xml:space="preserve">Multibenefício
Valor do crédito
Infomar o valor do Beneficío, Não deve ser alterado o formato do campo caso possua centavos informa como o EX: 100,55</t>
  </si>
  <si>
    <t xml:space="preserve">Auxílio VR+VA
Valor do crédito
Infomar o valor do Beneficío, Não deve ser alterado o formato do campo caso possua centavos informa como o EX: 100,56</t>
  </si>
  <si>
    <t xml:space="preserve">Multi Auxílio Alimentação 
Valor do crédito
Infomar o valor do Beneficío, Não deve ser alterado o formato do campo caso possua centavos informa como o EX: 100,56</t>
  </si>
  <si>
    <t xml:space="preserve">CNPJ / Código do Cliente:</t>
  </si>
  <si>
    <t xml:space="preserve">Razão Social:</t>
  </si>
  <si>
    <t xml:space="preserve">FEDCORP ADMINISTRADORA DE BENEFICIOS LTDA</t>
  </si>
  <si>
    <t xml:space="preserve">Refeição</t>
  </si>
  <si>
    <t xml:space="preserve">Alimentação</t>
  </si>
  <si>
    <t xml:space="preserve">Auto</t>
  </si>
  <si>
    <t xml:space="preserve">Cultura</t>
  </si>
  <si>
    <t xml:space="preserve">Cesta</t>
  </si>
  <si>
    <t xml:space="preserve">Boas Festas</t>
  </si>
  <si>
    <t xml:space="preserve">Auxílio Alimentação</t>
  </si>
  <si>
    <t xml:space="preserve">Auxílio Refeição</t>
  </si>
  <si>
    <t xml:space="preserve">Multibenefício</t>
  </si>
  <si>
    <t xml:space="preserve">Auxílio VR+VA</t>
  </si>
  <si>
    <t xml:space="preserve">Multi Refeição</t>
  </si>
  <si>
    <t xml:space="preserve">Multi Alimentação</t>
  </si>
  <si>
    <t xml:space="preserve">Multi Auxílio Refeição</t>
  </si>
  <si>
    <t xml:space="preserve">Multi Auxílio Alimentação</t>
  </si>
  <si>
    <t xml:space="preserve">Multi Auxílio VR+VA</t>
  </si>
  <si>
    <t xml:space="preserve">Multi Home Office</t>
  </si>
  <si>
    <t xml:space="preserve">Multi Mobilidade</t>
  </si>
  <si>
    <t xml:space="preserve">Multi Premiação</t>
  </si>
  <si>
    <t xml:space="preserve">Data de disponibilização:   </t>
  </si>
  <si>
    <t xml:space="preserve">13072026</t>
  </si>
  <si>
    <t xml:space="preserve">Quantidade Total de Beneficiário:   </t>
  </si>
  <si>
    <t xml:space="preserve">Valor Total:   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</si>
</sst>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_(&quot;R$ &quot;* #,##0.00_);_(&quot;R$ &quot;* \(#,##0.00\);_(&quot;R$ &quot;* \-??_);_(@_)"/>
    <numFmt numFmtId="166" formatCode="_(* #,##0.00_);_(* \(#,##0.00\);_(* \-??_);_(@_)"/>
    <numFmt numFmtId="167" formatCode="@"/>
    <numFmt numFmtId="168" formatCode="00000000000000"/>
    <numFmt numFmtId="169" formatCode="0.00"/>
    <numFmt numFmtId="170" formatCode="_-&quot;R$ &quot;* #,##0.00_-;&quot;-R$ &quot;* #,##0.00_-;_-&quot;R$ &quot;* \-??_-;_-@_-"/>
    <numFmt numFmtId="171" formatCode="d/m/yyyy"/>
    <numFmt numFmtId="172" formatCode="&quot;R$ &quot;#,##0.00"/>
  </numFmts>
  <fonts count="3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theme="1"/>
      <name val="Tahoma"/>
      <family val="2"/>
      <charset val="1"/>
    </font>
    <font>
      <sz val="11"/>
      <name val="Tahoma"/>
      <family val="2"/>
      <charset val="1"/>
    </font>
    <font>
      <b val="true"/>
      <sz val="16"/>
      <color theme="0"/>
      <name val="Tahoma"/>
      <family val="2"/>
      <charset val="1"/>
    </font>
    <font>
      <b val="true"/>
      <sz val="14"/>
      <color theme="0"/>
      <name val="Tahoma"/>
      <family val="2"/>
      <charset val="1"/>
    </font>
    <font>
      <b val="true"/>
      <sz val="11"/>
      <color rgb="FF00B050"/>
      <name val="Tahoma"/>
      <family val="2"/>
      <charset val="1"/>
    </font>
    <font>
      <b val="true"/>
      <sz val="11"/>
      <color theme="0"/>
      <name val="Tahoma"/>
      <family val="2"/>
      <charset val="1"/>
    </font>
    <font>
      <b val="true"/>
      <sz val="11"/>
      <color rgb="FF000000"/>
      <name val="Tahoma"/>
      <family val="2"/>
      <charset val="1"/>
    </font>
    <font>
      <sz val="10"/>
      <color rgb="FF000000"/>
      <name val="Tahoma"/>
      <family val="2"/>
      <charset val="1"/>
    </font>
    <font>
      <b val="true"/>
      <sz val="11"/>
      <name val="Tahoma"/>
      <family val="2"/>
      <charset val="1"/>
    </font>
    <font>
      <sz val="10"/>
      <color rgb="FFFF0000"/>
      <name val="Tahoma"/>
      <family val="2"/>
      <charset val="1"/>
    </font>
    <font>
      <sz val="11"/>
      <color rgb="FF000000"/>
      <name val="Tahoma"/>
      <family val="2"/>
      <charset val="1"/>
    </font>
    <font>
      <sz val="10"/>
      <name val="Tahoma"/>
      <family val="2"/>
      <charset val="1"/>
    </font>
    <font>
      <b val="true"/>
      <sz val="9"/>
      <color rgb="FF000000"/>
      <name val="Tahoma"/>
      <family val="2"/>
      <charset val="1"/>
    </font>
    <font>
      <u val="single"/>
      <sz val="10"/>
      <color rgb="FF000000"/>
      <name val="Tahoma"/>
      <family val="2"/>
      <charset val="1"/>
    </font>
    <font>
      <b val="true"/>
      <sz val="10"/>
      <name val="Tahoma"/>
      <family val="2"/>
      <charset val="1"/>
    </font>
    <font>
      <sz val="11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1"/>
      <color theme="0"/>
      <name val="Calibri"/>
      <family val="2"/>
      <charset val="1"/>
    </font>
    <font>
      <u val="single"/>
      <sz val="11"/>
      <name val="Calibri"/>
      <family val="2"/>
      <charset val="1"/>
    </font>
    <font>
      <u val="single"/>
      <sz val="11"/>
      <color theme="10"/>
      <name val="Calibri"/>
      <family val="2"/>
      <charset val="1"/>
    </font>
    <font>
      <b val="true"/>
      <sz val="8"/>
      <color rgb="FF333333"/>
      <name val="Arial"/>
      <family val="2"/>
      <charset val="1"/>
    </font>
    <font>
      <sz val="11"/>
      <color theme="0"/>
      <name val="Calibri"/>
      <family val="2"/>
      <charset val="1"/>
    </font>
    <font>
      <sz val="11"/>
      <color rgb="FF0000FF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sz val="10"/>
      <name val="Arial"/>
      <family val="2"/>
    </font>
    <font>
      <sz val="11"/>
      <color rgb="FFE2922F"/>
      <name val="Calibri"/>
      <family val="2"/>
      <charset val="1"/>
    </font>
    <font>
      <sz val="11"/>
      <color rgb="FF000000"/>
      <name val="Calibri"/>
      <family val="0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rgb="FF00B050"/>
        <bgColor rgb="FF339966"/>
      </patternFill>
    </fill>
    <fill>
      <patternFill patternType="solid">
        <fgColor theme="0" tint="-0.05"/>
        <bgColor rgb="FFEBF1DE"/>
      </patternFill>
    </fill>
    <fill>
      <patternFill patternType="solid">
        <fgColor theme="6" tint="0.7999"/>
        <bgColor rgb="FFF2F2F2"/>
      </patternFill>
    </fill>
    <fill>
      <patternFill patternType="solid">
        <fgColor theme="6" tint="-0.25"/>
        <bgColor rgb="FF998A5B"/>
      </patternFill>
    </fill>
    <fill>
      <patternFill patternType="solid">
        <fgColor rgb="FF006411"/>
        <bgColor rgb="FF003300"/>
      </patternFill>
    </fill>
    <fill>
      <patternFill patternType="solid">
        <fgColor rgb="FF339966"/>
        <bgColor rgb="FF00B050"/>
      </patternFill>
    </fill>
    <fill>
      <patternFill patternType="solid">
        <fgColor rgb="FF998A5B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theme="6" tint="0.3999"/>
        <bgColor rgb="FFFFCC99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 diagonalUp="false" diagonalDown="false">
      <left style="medium">
        <color theme="0"/>
      </left>
      <right/>
      <top style="medium">
        <color theme="0"/>
      </top>
      <bottom style="medium">
        <color theme="0"/>
      </bottom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>
        <color rgb="FFFFFFFF"/>
      </left>
      <right/>
      <top style="thin">
        <color rgb="FFFFFFFF"/>
      </top>
      <bottom style="thin">
        <color rgb="FFFFFFFF"/>
      </bottom>
      <diagonal/>
    </border>
    <border diagonalUp="false" diagonalDown="false">
      <left/>
      <right/>
      <top style="thin">
        <color rgb="FFFFFFFF"/>
      </top>
      <bottom style="thin">
        <color rgb="FFFFFFFF"/>
      </bottom>
      <diagonal/>
    </border>
    <border diagonalUp="false" diagonalDown="false">
      <left/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>
        <color rgb="FFFFFFFF"/>
      </left>
      <right/>
      <top/>
      <bottom/>
      <diagonal/>
    </border>
    <border diagonalUp="false" diagonalDown="false">
      <left style="thin">
        <color rgb="FFFFFFFF"/>
      </left>
      <right/>
      <top style="thin">
        <color rgb="FFFFFFFF"/>
      </top>
      <bottom/>
      <diagonal/>
    </border>
    <border diagonalUp="false" diagonalDown="false">
      <left/>
      <right/>
      <top style="thin">
        <color rgb="FFFFFFFF"/>
      </top>
      <bottom/>
      <diagonal/>
    </border>
    <border diagonalUp="false" diagonalDown="false">
      <left/>
      <right style="thin">
        <color rgb="FFFFFFFF"/>
      </right>
      <top style="thin">
        <color rgb="FFFFFFFF"/>
      </top>
      <bottom/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medium"/>
      <top style="medium"/>
      <bottom style="medium"/>
      <diagonal/>
    </border>
  </borders>
  <cellStyleXfs count="3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2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7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3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4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2" fillId="3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3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4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5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8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5" fillId="5" borderId="1" xfId="0" applyFont="true" applyBorder="true" applyAlignment="true" applyProtection="false">
      <alignment horizontal="justify" vertical="center" textRotation="0" wrapText="false" indent="0" shrinkToFit="false"/>
      <protection locked="true" hidden="false"/>
    </xf>
    <xf numFmtId="164" fontId="14" fillId="5" borderId="1" xfId="0" applyFont="true" applyBorder="true" applyAlignment="true" applyProtection="false">
      <alignment horizontal="justify" vertical="center" textRotation="0" wrapText="false" indent="0" shrinkToFit="false"/>
      <protection locked="true" hidden="false"/>
    </xf>
    <xf numFmtId="164" fontId="12" fillId="6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6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" fillId="2" borderId="0" xfId="0" applyFont="true" applyBorder="false" applyAlignment="true" applyProtection="false">
      <alignment horizontal="justify" vertical="center" textRotation="0" wrapText="false" indent="0" shrinkToFit="false"/>
      <protection locked="true" hidden="false"/>
    </xf>
    <xf numFmtId="164" fontId="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2" borderId="0" xfId="0" applyFont="true" applyBorder="false" applyAlignment="true" applyProtection="false">
      <alignment horizontal="justify" vertical="center" textRotation="0" wrapText="false" indent="0" shrinkToFit="false"/>
      <protection locked="true" hidden="false"/>
    </xf>
    <xf numFmtId="164" fontId="18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9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7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justify" vertical="center" textRotation="0" wrapText="false" indent="0" shrinkToFit="false"/>
      <protection locked="true" hidden="false"/>
    </xf>
    <xf numFmtId="164" fontId="20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21" fillId="5" borderId="1" xfId="0" applyFont="true" applyBorder="true" applyAlignment="true" applyProtection="false">
      <alignment horizontal="justify" vertical="center" textRotation="0" wrapText="true" indent="0" shrinkToFit="false"/>
      <protection locked="true" hidden="false"/>
    </xf>
    <xf numFmtId="164" fontId="14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2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7" fontId="23" fillId="7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23" fillId="8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4" fillId="0" borderId="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8" fontId="2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22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2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5" fillId="2" borderId="0" xfId="2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7" fontId="22" fillId="2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2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2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9" fontId="2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0" fontId="2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9" fontId="23" fillId="9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3" fillId="9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3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3" fillId="7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9" fontId="23" fillId="9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3" fillId="9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3" fillId="9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3" fillId="7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2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22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70" fontId="22" fillId="2" borderId="0" xfId="17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70" fontId="22" fillId="2" borderId="0" xfId="17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2" fillId="2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70" fontId="22" fillId="2" borderId="0" xfId="25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71" fontId="22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22" fillId="2" borderId="0" xfId="2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2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1" fontId="22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2" fontId="2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22" fillId="2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22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29" fillId="2" borderId="0" xfId="2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2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2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7" fontId="29" fillId="2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7" fontId="22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22" fillId="2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7" fontId="22" fillId="2" borderId="0" xfId="0" applyFont="true" applyBorder="false" applyAlignment="true" applyProtection="true">
      <alignment horizontal="left" vertical="bottom" textRotation="0" wrapText="true" indent="0" shrinkToFit="false"/>
      <protection locked="fals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23" fillId="7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23" fillId="7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3" fillId="9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23" fillId="7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3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10" borderId="12" xfId="17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7" fontId="22" fillId="11" borderId="1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3" xfId="0" applyFont="true" applyBorder="true" applyAlignment="true" applyProtection="true">
      <alignment horizontal="left" vertical="bottom" textRotation="0" wrapText="true" indent="0" shrinkToFit="false"/>
      <protection locked="false" hidden="false"/>
    </xf>
    <xf numFmtId="164" fontId="28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24" fillId="3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3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2" fillId="0" borderId="1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0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3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3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oeda 10" xfId="21"/>
    <cellStyle name="Moeda 11" xfId="22"/>
    <cellStyle name="Moeda 12" xfId="23"/>
    <cellStyle name="Moeda 13" xfId="24"/>
    <cellStyle name="Moeda 2" xfId="25"/>
    <cellStyle name="Moeda 2 10" xfId="26"/>
    <cellStyle name="Moeda 2 11" xfId="27"/>
    <cellStyle name="Moeda 2 2" xfId="28"/>
    <cellStyle name="Moeda 2 2 10" xfId="29"/>
    <cellStyle name="Moeda 2 2 2" xfId="30"/>
    <cellStyle name="Moeda 2 2 2 2" xfId="31"/>
    <cellStyle name="Moeda 2 2 2 2 2" xfId="32"/>
    <cellStyle name="Moeda 2 2 2 2 2 2" xfId="33"/>
    <cellStyle name="Moeda 2 2 2 2 2 3" xfId="34"/>
    <cellStyle name="Moeda 2 2 2 2 2 4" xfId="35"/>
    <cellStyle name="Moeda 2 2 2 2 2 5" xfId="36"/>
    <cellStyle name="Moeda 2 2 2 2 2 6" xfId="37"/>
    <cellStyle name="Moeda 2 2 2 2 2 7" xfId="38"/>
    <cellStyle name="Moeda 2 2 2 2 3" xfId="39"/>
    <cellStyle name="Moeda 2 2 2 2 4" xfId="40"/>
    <cellStyle name="Moeda 2 2 2 2 5" xfId="41"/>
    <cellStyle name="Moeda 2 2 2 2 6" xfId="42"/>
    <cellStyle name="Moeda 2 2 2 2 7" xfId="43"/>
    <cellStyle name="Moeda 2 2 2 3" xfId="44"/>
    <cellStyle name="Moeda 2 2 2 3 2" xfId="45"/>
    <cellStyle name="Moeda 2 2 2 3 3" xfId="46"/>
    <cellStyle name="Moeda 2 2 2 3 4" xfId="47"/>
    <cellStyle name="Moeda 2 2 2 3 5" xfId="48"/>
    <cellStyle name="Moeda 2 2 2 3 6" xfId="49"/>
    <cellStyle name="Moeda 2 2 2 4" xfId="50"/>
    <cellStyle name="Moeda 2 2 2 5" xfId="51"/>
    <cellStyle name="Moeda 2 2 2 6" xfId="52"/>
    <cellStyle name="Moeda 2 2 2 7" xfId="53"/>
    <cellStyle name="Moeda 2 2 2 8" xfId="54"/>
    <cellStyle name="Moeda 2 2 3" xfId="55"/>
    <cellStyle name="Moeda 2 2 3 2" xfId="56"/>
    <cellStyle name="Moeda 2 2 3 2 2" xfId="57"/>
    <cellStyle name="Moeda 2 2 3 2 2 2" xfId="58"/>
    <cellStyle name="Moeda 2 2 3 2 2 3" xfId="59"/>
    <cellStyle name="Moeda 2 2 3 2 2 4" xfId="60"/>
    <cellStyle name="Moeda 2 2 3 2 2 5" xfId="61"/>
    <cellStyle name="Moeda 2 2 3 2 2 6" xfId="62"/>
    <cellStyle name="Moeda 2 2 3 2 3" xfId="63"/>
    <cellStyle name="Moeda 2 2 3 2 4" xfId="64"/>
    <cellStyle name="Moeda 2 2 3 2 5" xfId="65"/>
    <cellStyle name="Moeda 2 2 3 2 6" xfId="66"/>
    <cellStyle name="Moeda 2 2 3 2 7" xfId="67"/>
    <cellStyle name="Moeda 2 2 3 3" xfId="68"/>
    <cellStyle name="Moeda 2 2 3 3 2" xfId="69"/>
    <cellStyle name="Moeda 2 2 3 3 3" xfId="70"/>
    <cellStyle name="Moeda 2 2 3 3 4" xfId="71"/>
    <cellStyle name="Moeda 2 2 3 3 5" xfId="72"/>
    <cellStyle name="Moeda 2 2 3 3 6" xfId="73"/>
    <cellStyle name="Moeda 2 2 3 4" xfId="74"/>
    <cellStyle name="Moeda 2 2 3 5" xfId="75"/>
    <cellStyle name="Moeda 2 2 3 6" xfId="76"/>
    <cellStyle name="Moeda 2 2 3 7" xfId="77"/>
    <cellStyle name="Moeda 2 2 3 8" xfId="78"/>
    <cellStyle name="Moeda 2 2 4" xfId="79"/>
    <cellStyle name="Moeda 2 2 4 2" xfId="80"/>
    <cellStyle name="Moeda 2 2 4 2 2" xfId="81"/>
    <cellStyle name="Moeda 2 2 4 2 3" xfId="82"/>
    <cellStyle name="Moeda 2 2 4 2 4" xfId="83"/>
    <cellStyle name="Moeda 2 2 4 2 5" xfId="84"/>
    <cellStyle name="Moeda 2 2 4 2 6" xfId="85"/>
    <cellStyle name="Moeda 2 2 4 3" xfId="86"/>
    <cellStyle name="Moeda 2 2 4 4" xfId="87"/>
    <cellStyle name="Moeda 2 2 4 5" xfId="88"/>
    <cellStyle name="Moeda 2 2 4 6" xfId="89"/>
    <cellStyle name="Moeda 2 2 4 7" xfId="90"/>
    <cellStyle name="Moeda 2 2 5" xfId="91"/>
    <cellStyle name="Moeda 2 2 5 2" xfId="92"/>
    <cellStyle name="Moeda 2 2 5 3" xfId="93"/>
    <cellStyle name="Moeda 2 2 5 4" xfId="94"/>
    <cellStyle name="Moeda 2 2 5 5" xfId="95"/>
    <cellStyle name="Moeda 2 2 5 6" xfId="96"/>
    <cellStyle name="Moeda 2 2 6" xfId="97"/>
    <cellStyle name="Moeda 2 2 7" xfId="98"/>
    <cellStyle name="Moeda 2 2 8" xfId="99"/>
    <cellStyle name="Moeda 2 2 9" xfId="100"/>
    <cellStyle name="Moeda 2 3" xfId="101"/>
    <cellStyle name="Moeda 2 3 2" xfId="102"/>
    <cellStyle name="Moeda 2 3 2 2" xfId="103"/>
    <cellStyle name="Moeda 2 3 2 2 2" xfId="104"/>
    <cellStyle name="Moeda 2 3 2 2 3" xfId="105"/>
    <cellStyle name="Moeda 2 3 2 2 4" xfId="106"/>
    <cellStyle name="Moeda 2 3 2 2 5" xfId="107"/>
    <cellStyle name="Moeda 2 3 2 2 6" xfId="108"/>
    <cellStyle name="Moeda 2 3 2 3" xfId="109"/>
    <cellStyle name="Moeda 2 3 2 4" xfId="110"/>
    <cellStyle name="Moeda 2 3 2 5" xfId="111"/>
    <cellStyle name="Moeda 2 3 2 6" xfId="112"/>
    <cellStyle name="Moeda 2 3 2 7" xfId="113"/>
    <cellStyle name="Moeda 2 3 3" xfId="114"/>
    <cellStyle name="Moeda 2 3 3 2" xfId="115"/>
    <cellStyle name="Moeda 2 3 3 3" xfId="116"/>
    <cellStyle name="Moeda 2 3 3 4" xfId="117"/>
    <cellStyle name="Moeda 2 3 3 5" xfId="118"/>
    <cellStyle name="Moeda 2 3 3 6" xfId="119"/>
    <cellStyle name="Moeda 2 3 4" xfId="120"/>
    <cellStyle name="Moeda 2 3 5" xfId="121"/>
    <cellStyle name="Moeda 2 3 6" xfId="122"/>
    <cellStyle name="Moeda 2 3 7" xfId="123"/>
    <cellStyle name="Moeda 2 3 8" xfId="124"/>
    <cellStyle name="Moeda 2 4" xfId="125"/>
    <cellStyle name="Moeda 2 4 2" xfId="126"/>
    <cellStyle name="Moeda 2 4 2 2" xfId="127"/>
    <cellStyle name="Moeda 2 4 2 2 2" xfId="128"/>
    <cellStyle name="Moeda 2 4 2 2 3" xfId="129"/>
    <cellStyle name="Moeda 2 4 2 2 4" xfId="130"/>
    <cellStyle name="Moeda 2 4 2 2 5" xfId="131"/>
    <cellStyle name="Moeda 2 4 2 2 6" xfId="132"/>
    <cellStyle name="Moeda 2 4 2 3" xfId="133"/>
    <cellStyle name="Moeda 2 4 2 4" xfId="134"/>
    <cellStyle name="Moeda 2 4 2 5" xfId="135"/>
    <cellStyle name="Moeda 2 4 2 6" xfId="136"/>
    <cellStyle name="Moeda 2 4 2 7" xfId="137"/>
    <cellStyle name="Moeda 2 4 3" xfId="138"/>
    <cellStyle name="Moeda 2 4 3 2" xfId="139"/>
    <cellStyle name="Moeda 2 4 3 3" xfId="140"/>
    <cellStyle name="Moeda 2 4 3 4" xfId="141"/>
    <cellStyle name="Moeda 2 4 3 5" xfId="142"/>
    <cellStyle name="Moeda 2 4 3 6" xfId="143"/>
    <cellStyle name="Moeda 2 4 4" xfId="144"/>
    <cellStyle name="Moeda 2 4 5" xfId="145"/>
    <cellStyle name="Moeda 2 4 6" xfId="146"/>
    <cellStyle name="Moeda 2 4 7" xfId="147"/>
    <cellStyle name="Moeda 2 4 8" xfId="148"/>
    <cellStyle name="Moeda 2 5" xfId="149"/>
    <cellStyle name="Moeda 2 5 2" xfId="150"/>
    <cellStyle name="Moeda 2 5 2 2" xfId="151"/>
    <cellStyle name="Moeda 2 5 2 3" xfId="152"/>
    <cellStyle name="Moeda 2 5 2 4" xfId="153"/>
    <cellStyle name="Moeda 2 5 2 5" xfId="154"/>
    <cellStyle name="Moeda 2 5 2 6" xfId="155"/>
    <cellStyle name="Moeda 2 5 3" xfId="156"/>
    <cellStyle name="Moeda 2 5 4" xfId="157"/>
    <cellStyle name="Moeda 2 5 5" xfId="158"/>
    <cellStyle name="Moeda 2 5 6" xfId="159"/>
    <cellStyle name="Moeda 2 5 7" xfId="160"/>
    <cellStyle name="Moeda 2 6" xfId="161"/>
    <cellStyle name="Moeda 2 6 2" xfId="162"/>
    <cellStyle name="Moeda 2 6 3" xfId="163"/>
    <cellStyle name="Moeda 2 6 4" xfId="164"/>
    <cellStyle name="Moeda 2 6 5" xfId="165"/>
    <cellStyle name="Moeda 2 6 6" xfId="166"/>
    <cellStyle name="Moeda 2 7" xfId="167"/>
    <cellStyle name="Moeda 2 8" xfId="168"/>
    <cellStyle name="Moeda 2 9" xfId="169"/>
    <cellStyle name="Moeda 3" xfId="170"/>
    <cellStyle name="Moeda 3 10" xfId="171"/>
    <cellStyle name="Moeda 3 2" xfId="172"/>
    <cellStyle name="Moeda 3 2 2" xfId="173"/>
    <cellStyle name="Moeda 3 2 2 2" xfId="174"/>
    <cellStyle name="Moeda 3 2 2 2 2" xfId="175"/>
    <cellStyle name="Moeda 3 2 2 2 3" xfId="176"/>
    <cellStyle name="Moeda 3 2 2 2 4" xfId="177"/>
    <cellStyle name="Moeda 3 2 2 2 5" xfId="178"/>
    <cellStyle name="Moeda 3 2 2 2 6" xfId="179"/>
    <cellStyle name="Moeda 3 2 2 3" xfId="180"/>
    <cellStyle name="Moeda 3 2 2 4" xfId="181"/>
    <cellStyle name="Moeda 3 2 2 5" xfId="182"/>
    <cellStyle name="Moeda 3 2 2 6" xfId="183"/>
    <cellStyle name="Moeda 3 2 2 7" xfId="184"/>
    <cellStyle name="Moeda 3 2 3" xfId="185"/>
    <cellStyle name="Moeda 3 2 3 2" xfId="186"/>
    <cellStyle name="Moeda 3 2 3 3" xfId="187"/>
    <cellStyle name="Moeda 3 2 3 4" xfId="188"/>
    <cellStyle name="Moeda 3 2 3 5" xfId="189"/>
    <cellStyle name="Moeda 3 2 3 6" xfId="190"/>
    <cellStyle name="Moeda 3 2 4" xfId="191"/>
    <cellStyle name="Moeda 3 2 5" xfId="192"/>
    <cellStyle name="Moeda 3 2 6" xfId="193"/>
    <cellStyle name="Moeda 3 2 7" xfId="194"/>
    <cellStyle name="Moeda 3 2 8" xfId="195"/>
    <cellStyle name="Moeda 3 3" xfId="196"/>
    <cellStyle name="Moeda 3 3 2" xfId="197"/>
    <cellStyle name="Moeda 3 3 2 2" xfId="198"/>
    <cellStyle name="Moeda 3 3 2 2 2" xfId="199"/>
    <cellStyle name="Moeda 3 3 2 2 3" xfId="200"/>
    <cellStyle name="Moeda 3 3 2 2 4" xfId="201"/>
    <cellStyle name="Moeda 3 3 2 2 5" xfId="202"/>
    <cellStyle name="Moeda 3 3 2 2 6" xfId="203"/>
    <cellStyle name="Moeda 3 3 2 3" xfId="204"/>
    <cellStyle name="Moeda 3 3 2 4" xfId="205"/>
    <cellStyle name="Moeda 3 3 2 5" xfId="206"/>
    <cellStyle name="Moeda 3 3 2 6" xfId="207"/>
    <cellStyle name="Moeda 3 3 2 7" xfId="208"/>
    <cellStyle name="Moeda 3 3 3" xfId="209"/>
    <cellStyle name="Moeda 3 3 3 2" xfId="210"/>
    <cellStyle name="Moeda 3 3 3 3" xfId="211"/>
    <cellStyle name="Moeda 3 3 3 4" xfId="212"/>
    <cellStyle name="Moeda 3 3 3 5" xfId="213"/>
    <cellStyle name="Moeda 3 3 3 6" xfId="214"/>
    <cellStyle name="Moeda 3 3 4" xfId="215"/>
    <cellStyle name="Moeda 3 3 5" xfId="216"/>
    <cellStyle name="Moeda 3 3 6" xfId="217"/>
    <cellStyle name="Moeda 3 3 7" xfId="218"/>
    <cellStyle name="Moeda 3 3 8" xfId="219"/>
    <cellStyle name="Moeda 3 4" xfId="220"/>
    <cellStyle name="Moeda 3 4 2" xfId="221"/>
    <cellStyle name="Moeda 3 4 2 2" xfId="222"/>
    <cellStyle name="Moeda 3 4 2 3" xfId="223"/>
    <cellStyle name="Moeda 3 4 2 4" xfId="224"/>
    <cellStyle name="Moeda 3 4 2 5" xfId="225"/>
    <cellStyle name="Moeda 3 4 2 6" xfId="226"/>
    <cellStyle name="Moeda 3 4 3" xfId="227"/>
    <cellStyle name="Moeda 3 4 4" xfId="228"/>
    <cellStyle name="Moeda 3 4 5" xfId="229"/>
    <cellStyle name="Moeda 3 4 6" xfId="230"/>
    <cellStyle name="Moeda 3 4 7" xfId="231"/>
    <cellStyle name="Moeda 3 5" xfId="232"/>
    <cellStyle name="Moeda 3 5 2" xfId="233"/>
    <cellStyle name="Moeda 3 5 3" xfId="234"/>
    <cellStyle name="Moeda 3 5 4" xfId="235"/>
    <cellStyle name="Moeda 3 5 5" xfId="236"/>
    <cellStyle name="Moeda 3 5 6" xfId="237"/>
    <cellStyle name="Moeda 3 6" xfId="238"/>
    <cellStyle name="Moeda 3 7" xfId="239"/>
    <cellStyle name="Moeda 3 8" xfId="240"/>
    <cellStyle name="Moeda 3 9" xfId="241"/>
    <cellStyle name="Moeda 4" xfId="242"/>
    <cellStyle name="Moeda 4 2" xfId="243"/>
    <cellStyle name="Moeda 4 2 2" xfId="244"/>
    <cellStyle name="Moeda 4 2 2 2" xfId="245"/>
    <cellStyle name="Moeda 4 2 2 3" xfId="246"/>
    <cellStyle name="Moeda 4 2 2 4" xfId="247"/>
    <cellStyle name="Moeda 4 2 2 5" xfId="248"/>
    <cellStyle name="Moeda 4 2 2 6" xfId="249"/>
    <cellStyle name="Moeda 4 2 3" xfId="250"/>
    <cellStyle name="Moeda 4 2 4" xfId="251"/>
    <cellStyle name="Moeda 4 2 5" xfId="252"/>
    <cellStyle name="Moeda 4 2 6" xfId="253"/>
    <cellStyle name="Moeda 4 2 7" xfId="254"/>
    <cellStyle name="Moeda 4 3" xfId="255"/>
    <cellStyle name="Moeda 4 3 2" xfId="256"/>
    <cellStyle name="Moeda 4 3 3" xfId="257"/>
    <cellStyle name="Moeda 4 3 4" xfId="258"/>
    <cellStyle name="Moeda 4 3 5" xfId="259"/>
    <cellStyle name="Moeda 4 3 6" xfId="260"/>
    <cellStyle name="Moeda 4 4" xfId="261"/>
    <cellStyle name="Moeda 4 5" xfId="262"/>
    <cellStyle name="Moeda 4 6" xfId="263"/>
    <cellStyle name="Moeda 4 7" xfId="264"/>
    <cellStyle name="Moeda 4 8" xfId="265"/>
    <cellStyle name="Moeda 5" xfId="266"/>
    <cellStyle name="Moeda 5 2" xfId="267"/>
    <cellStyle name="Moeda 5 2 2" xfId="268"/>
    <cellStyle name="Moeda 5 2 2 2" xfId="269"/>
    <cellStyle name="Moeda 5 2 2 3" xfId="270"/>
    <cellStyle name="Moeda 5 2 2 4" xfId="271"/>
    <cellStyle name="Moeda 5 2 2 5" xfId="272"/>
    <cellStyle name="Moeda 5 2 2 6" xfId="273"/>
    <cellStyle name="Moeda 5 2 3" xfId="274"/>
    <cellStyle name="Moeda 5 2 4" xfId="275"/>
    <cellStyle name="Moeda 5 2 5" xfId="276"/>
    <cellStyle name="Moeda 5 2 6" xfId="277"/>
    <cellStyle name="Moeda 5 2 7" xfId="278"/>
    <cellStyle name="Moeda 5 3" xfId="279"/>
    <cellStyle name="Moeda 5 3 2" xfId="280"/>
    <cellStyle name="Moeda 5 3 3" xfId="281"/>
    <cellStyle name="Moeda 5 3 4" xfId="282"/>
    <cellStyle name="Moeda 5 3 5" xfId="283"/>
    <cellStyle name="Moeda 5 3 6" xfId="284"/>
    <cellStyle name="Moeda 5 4" xfId="285"/>
    <cellStyle name="Moeda 5 5" xfId="286"/>
    <cellStyle name="Moeda 5 6" xfId="287"/>
    <cellStyle name="Moeda 5 7" xfId="288"/>
    <cellStyle name="Moeda 5 8" xfId="289"/>
    <cellStyle name="Moeda 6" xfId="290"/>
    <cellStyle name="Moeda 6 2" xfId="291"/>
    <cellStyle name="Moeda 6 2 2" xfId="292"/>
    <cellStyle name="Moeda 6 2 3" xfId="293"/>
    <cellStyle name="Moeda 6 2 4" xfId="294"/>
    <cellStyle name="Moeda 6 2 5" xfId="295"/>
    <cellStyle name="Moeda 6 2 6" xfId="296"/>
    <cellStyle name="Moeda 6 3" xfId="297"/>
    <cellStyle name="Moeda 6 4" xfId="298"/>
    <cellStyle name="Moeda 6 5" xfId="299"/>
    <cellStyle name="Moeda 6 6" xfId="300"/>
    <cellStyle name="Moeda 6 7" xfId="301"/>
    <cellStyle name="Moeda 7" xfId="302"/>
    <cellStyle name="Moeda 7 2" xfId="303"/>
    <cellStyle name="Moeda 7 3" xfId="304"/>
    <cellStyle name="Moeda 7 4" xfId="305"/>
    <cellStyle name="Moeda 7 5" xfId="306"/>
    <cellStyle name="Moeda 7 6" xfId="307"/>
    <cellStyle name="Moeda 7 7" xfId="308"/>
    <cellStyle name="Moeda 8" xfId="309"/>
    <cellStyle name="Moeda 8 2" xfId="310"/>
    <cellStyle name="Moeda 8 3" xfId="311"/>
    <cellStyle name="Moeda 8 4" xfId="312"/>
    <cellStyle name="Moeda 8 5" xfId="313"/>
    <cellStyle name="Moeda 8 6" xfId="314"/>
    <cellStyle name="Moeda 9" xfId="315"/>
    <cellStyle name="Normal 2" xfId="316"/>
    <cellStyle name="Normal 2 2" xfId="317"/>
    <cellStyle name="Normal 3" xfId="318"/>
    <cellStyle name="Vírgula 2" xfId="319"/>
    <cellStyle name="Vírgula 2 2" xfId="320"/>
    <cellStyle name="Vírgula 3" xfId="321"/>
    <cellStyle name="Vírgula 3 2" xfId="322"/>
    <cellStyle name="Vírgula 4" xfId="323"/>
    <cellStyle name="*unknown*" xfId="20" builtinId="8"/>
  </cellStyles>
  <dxfs count="8">
    <dxf>
      <fill>
        <patternFill patternType="solid">
          <fgColor rgb="FF006411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33996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998A5B"/>
          <bgColor rgb="FF000000"/>
        </patternFill>
      </fill>
    </dxf>
    <dxf>
      <fill>
        <patternFill>
          <bgColor theme="0"/>
        </patternFill>
      </fill>
    </dxf>
    <dxf>
      <fill>
        <patternFill>
          <bgColor theme="6" tint="0.3999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411"/>
      <rgbColor rgb="FF000080"/>
      <rgbColor rgb="FF77933C"/>
      <rgbColor rgb="FF800080"/>
      <rgbColor rgb="FF00B050"/>
      <rgbColor rgb="FFC3D69B"/>
      <rgbColor rgb="FF998A5B"/>
      <rgbColor rgb="FF9999FF"/>
      <rgbColor rgb="FF993366"/>
      <rgbColor rgb="FFEBF1DE"/>
      <rgbColor rgb="FFF2F2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E2922F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worksheet" Target="worksheets/sheet27.xml"/><Relationship Id="rId31" Type="http://schemas.openxmlformats.org/officeDocument/2006/relationships/worksheet" Target="worksheets/sheet28.xml"/><Relationship Id="rId32" Type="http://schemas.openxmlformats.org/officeDocument/2006/relationships/worksheet" Target="worksheets/sheet29.xml"/><Relationship Id="rId33" Type="http://schemas.openxmlformats.org/officeDocument/2006/relationships/worksheet" Target="worksheets/sheet30.xml"/><Relationship Id="rId34" Type="http://schemas.openxmlformats.org/officeDocument/2006/relationships/worksheet" Target="worksheets/sheet31.xml"/><Relationship Id="rId35" Type="http://schemas.openxmlformats.org/officeDocument/2006/relationships/worksheet" Target="worksheets/sheet32.xml"/><Relationship Id="rId36" Type="http://schemas.openxmlformats.org/officeDocument/2006/relationships/worksheet" Target="worksheets/sheet33.xml"/><Relationship Id="rId37" Type="http://schemas.openxmlformats.org/officeDocument/2006/relationships/worksheet" Target="worksheets/sheet34.xml"/><Relationship Id="rId38" Type="http://schemas.openxmlformats.org/officeDocument/2006/relationships/worksheet" Target="worksheets/sheet35.xml"/><Relationship Id="rId39" Type="http://schemas.openxmlformats.org/officeDocument/2006/relationships/worksheet" Target="worksheets/sheet36.xml"/><Relationship Id="rId40" Type="http://schemas.openxmlformats.org/officeDocument/2006/relationships/worksheet" Target="worksheets/sheet37.xml"/><Relationship Id="rId41" Type="http://schemas.openxmlformats.org/officeDocument/2006/relationships/worksheet" Target="worksheets/sheet38.xml"/><Relationship Id="rId42" Type="http://schemas.openxmlformats.org/officeDocument/2006/relationships/worksheet" Target="worksheets/sheet39.xml"/><Relationship Id="rId43" Type="http://schemas.openxmlformats.org/officeDocument/2006/relationships/worksheet" Target="worksheets/sheet40.xml"/><Relationship Id="rId44" Type="http://schemas.openxmlformats.org/officeDocument/2006/relationships/sharedStrings" Target="sharedStrings.xml"/>
</Relationships>
</file>

<file path=xl/ctrlProps/ctrlProps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28440</xdr:colOff>
          <xdr:row>12</xdr:row>
          <xdr:rowOff>19080</xdr:rowOff>
        </xdr:from>
        <xdr:to>
          <xdr:col>3</xdr:col>
          <xdr:colOff>133200</xdr:colOff>
          <xdr:row>13</xdr:row>
          <xdr:rowOff>162000</xdr:rowOff>
        </xdr:to>
        <xdr:sp>
          <xdr:nvSpPr>
            <xdr:cNvPr id="1001" name="Button 1" descr="Exportar TX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Exportar TXT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hyperlink" Target="callto:428.344.188-02" TargetMode="External"/><Relationship Id="rId3" Type="http://schemas.openxmlformats.org/officeDocument/2006/relationships/hyperlink" Target="callto:422.073.258-65" TargetMode="External"/><Relationship Id="rId4" Type="http://schemas.openxmlformats.org/officeDocument/2006/relationships/hyperlink" Target="callto:275.790.118-40" TargetMode="External"/><Relationship Id="rId5" Type="http://schemas.openxmlformats.org/officeDocument/2006/relationships/hyperlink" Target="callto:389.574.978-89" TargetMode="External"/><Relationship Id="rId6" Type="http://schemas.openxmlformats.org/officeDocument/2006/relationships/hyperlink" Target="callto:393.291.938-62" TargetMode="External"/><Relationship Id="rId7" Type="http://schemas.openxmlformats.org/officeDocument/2006/relationships/hyperlink" Target="callto:331.622.188-37" TargetMode="External"/><Relationship Id="rId8" Type="http://schemas.openxmlformats.org/officeDocument/2006/relationships/hyperlink" Target="callto:250.870.778-38" TargetMode="External"/><Relationship Id="rId9" Type="http://schemas.openxmlformats.org/officeDocument/2006/relationships/hyperlink" Target="callto:589.802.938-95" TargetMode="External"/><Relationship Id="rId10" Type="http://schemas.openxmlformats.org/officeDocument/2006/relationships/drawing" Target="../drawings/drawing2.xml"/><Relationship Id="rId11" Type="http://schemas.openxmlformats.org/officeDocument/2006/relationships/vmlDrawing" Target="../drawings/vmlDrawing1.v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C114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9.1484375" defaultRowHeight="25.5" customHeight="true" zeroHeight="false" outlineLevelRow="0" outlineLevelCol="0"/>
  <cols>
    <col collapsed="false" customWidth="true" hidden="false" outlineLevel="0" max="1" min="1" style="1" width="3.86"/>
    <col collapsed="false" customWidth="true" hidden="false" outlineLevel="0" max="2" min="2" style="1" width="38.29"/>
    <col collapsed="false" customWidth="true" hidden="false" outlineLevel="0" max="3" min="3" style="1" width="117.85"/>
    <col collapsed="false" customWidth="false" hidden="false" outlineLevel="0" max="256" min="4" style="1" width="9.14"/>
    <col collapsed="false" customWidth="true" hidden="false" outlineLevel="0" max="257" min="257" style="1" width="3.86"/>
    <col collapsed="false" customWidth="true" hidden="false" outlineLevel="0" max="258" min="258" style="1" width="35.71"/>
    <col collapsed="false" customWidth="true" hidden="false" outlineLevel="0" max="259" min="259" style="1" width="117.85"/>
    <col collapsed="false" customWidth="false" hidden="false" outlineLevel="0" max="512" min="260" style="1" width="9.14"/>
    <col collapsed="false" customWidth="true" hidden="false" outlineLevel="0" max="513" min="513" style="1" width="3.86"/>
    <col collapsed="false" customWidth="true" hidden="false" outlineLevel="0" max="514" min="514" style="1" width="35.71"/>
    <col collapsed="false" customWidth="true" hidden="false" outlineLevel="0" max="515" min="515" style="1" width="117.85"/>
    <col collapsed="false" customWidth="false" hidden="false" outlineLevel="0" max="768" min="516" style="1" width="9.14"/>
    <col collapsed="false" customWidth="true" hidden="false" outlineLevel="0" max="769" min="769" style="1" width="3.86"/>
    <col collapsed="false" customWidth="true" hidden="false" outlineLevel="0" max="770" min="770" style="1" width="35.71"/>
    <col collapsed="false" customWidth="true" hidden="false" outlineLevel="0" max="771" min="771" style="1" width="117.85"/>
    <col collapsed="false" customWidth="false" hidden="false" outlineLevel="0" max="1024" min="772" style="1" width="9.14"/>
    <col collapsed="false" customWidth="true" hidden="false" outlineLevel="0" max="1025" min="1025" style="1" width="3.86"/>
    <col collapsed="false" customWidth="true" hidden="false" outlineLevel="0" max="1026" min="1026" style="1" width="35.71"/>
    <col collapsed="false" customWidth="true" hidden="false" outlineLevel="0" max="1027" min="1027" style="1" width="117.85"/>
    <col collapsed="false" customWidth="false" hidden="false" outlineLevel="0" max="1280" min="1028" style="1" width="9.14"/>
    <col collapsed="false" customWidth="true" hidden="false" outlineLevel="0" max="1281" min="1281" style="1" width="3.86"/>
    <col collapsed="false" customWidth="true" hidden="false" outlineLevel="0" max="1282" min="1282" style="1" width="35.71"/>
    <col collapsed="false" customWidth="true" hidden="false" outlineLevel="0" max="1283" min="1283" style="1" width="117.85"/>
    <col collapsed="false" customWidth="false" hidden="false" outlineLevel="0" max="1536" min="1284" style="1" width="9.14"/>
    <col collapsed="false" customWidth="true" hidden="false" outlineLevel="0" max="1537" min="1537" style="1" width="3.86"/>
    <col collapsed="false" customWidth="true" hidden="false" outlineLevel="0" max="1538" min="1538" style="1" width="35.71"/>
    <col collapsed="false" customWidth="true" hidden="false" outlineLevel="0" max="1539" min="1539" style="1" width="117.85"/>
    <col collapsed="false" customWidth="false" hidden="false" outlineLevel="0" max="1792" min="1540" style="1" width="9.14"/>
    <col collapsed="false" customWidth="true" hidden="false" outlineLevel="0" max="1793" min="1793" style="1" width="3.86"/>
    <col collapsed="false" customWidth="true" hidden="false" outlineLevel="0" max="1794" min="1794" style="1" width="35.71"/>
    <col collapsed="false" customWidth="true" hidden="false" outlineLevel="0" max="1795" min="1795" style="1" width="117.85"/>
    <col collapsed="false" customWidth="false" hidden="false" outlineLevel="0" max="2048" min="1796" style="1" width="9.14"/>
    <col collapsed="false" customWidth="true" hidden="false" outlineLevel="0" max="2049" min="2049" style="1" width="3.86"/>
    <col collapsed="false" customWidth="true" hidden="false" outlineLevel="0" max="2050" min="2050" style="1" width="35.71"/>
    <col collapsed="false" customWidth="true" hidden="false" outlineLevel="0" max="2051" min="2051" style="1" width="117.85"/>
    <col collapsed="false" customWidth="false" hidden="false" outlineLevel="0" max="2304" min="2052" style="1" width="9.14"/>
    <col collapsed="false" customWidth="true" hidden="false" outlineLevel="0" max="2305" min="2305" style="1" width="3.86"/>
    <col collapsed="false" customWidth="true" hidden="false" outlineLevel="0" max="2306" min="2306" style="1" width="35.71"/>
    <col collapsed="false" customWidth="true" hidden="false" outlineLevel="0" max="2307" min="2307" style="1" width="117.85"/>
    <col collapsed="false" customWidth="false" hidden="false" outlineLevel="0" max="2560" min="2308" style="1" width="9.14"/>
    <col collapsed="false" customWidth="true" hidden="false" outlineLevel="0" max="2561" min="2561" style="1" width="3.86"/>
    <col collapsed="false" customWidth="true" hidden="false" outlineLevel="0" max="2562" min="2562" style="1" width="35.71"/>
    <col collapsed="false" customWidth="true" hidden="false" outlineLevel="0" max="2563" min="2563" style="1" width="117.85"/>
    <col collapsed="false" customWidth="false" hidden="false" outlineLevel="0" max="2816" min="2564" style="1" width="9.14"/>
    <col collapsed="false" customWidth="true" hidden="false" outlineLevel="0" max="2817" min="2817" style="1" width="3.86"/>
    <col collapsed="false" customWidth="true" hidden="false" outlineLevel="0" max="2818" min="2818" style="1" width="35.71"/>
    <col collapsed="false" customWidth="true" hidden="false" outlineLevel="0" max="2819" min="2819" style="1" width="117.85"/>
    <col collapsed="false" customWidth="false" hidden="false" outlineLevel="0" max="3072" min="2820" style="1" width="9.14"/>
    <col collapsed="false" customWidth="true" hidden="false" outlineLevel="0" max="3073" min="3073" style="1" width="3.86"/>
    <col collapsed="false" customWidth="true" hidden="false" outlineLevel="0" max="3074" min="3074" style="1" width="35.71"/>
    <col collapsed="false" customWidth="true" hidden="false" outlineLevel="0" max="3075" min="3075" style="1" width="117.85"/>
    <col collapsed="false" customWidth="false" hidden="false" outlineLevel="0" max="3328" min="3076" style="1" width="9.14"/>
    <col collapsed="false" customWidth="true" hidden="false" outlineLevel="0" max="3329" min="3329" style="1" width="3.86"/>
    <col collapsed="false" customWidth="true" hidden="false" outlineLevel="0" max="3330" min="3330" style="1" width="35.71"/>
    <col collapsed="false" customWidth="true" hidden="false" outlineLevel="0" max="3331" min="3331" style="1" width="117.85"/>
    <col collapsed="false" customWidth="false" hidden="false" outlineLevel="0" max="3584" min="3332" style="1" width="9.14"/>
    <col collapsed="false" customWidth="true" hidden="false" outlineLevel="0" max="3585" min="3585" style="1" width="3.86"/>
    <col collapsed="false" customWidth="true" hidden="false" outlineLevel="0" max="3586" min="3586" style="1" width="35.71"/>
    <col collapsed="false" customWidth="true" hidden="false" outlineLevel="0" max="3587" min="3587" style="1" width="117.85"/>
    <col collapsed="false" customWidth="false" hidden="false" outlineLevel="0" max="3840" min="3588" style="1" width="9.14"/>
    <col collapsed="false" customWidth="true" hidden="false" outlineLevel="0" max="3841" min="3841" style="1" width="3.86"/>
    <col collapsed="false" customWidth="true" hidden="false" outlineLevel="0" max="3842" min="3842" style="1" width="35.71"/>
    <col collapsed="false" customWidth="true" hidden="false" outlineLevel="0" max="3843" min="3843" style="1" width="117.85"/>
    <col collapsed="false" customWidth="false" hidden="false" outlineLevel="0" max="4096" min="3844" style="1" width="9.14"/>
    <col collapsed="false" customWidth="true" hidden="false" outlineLevel="0" max="4097" min="4097" style="1" width="3.86"/>
    <col collapsed="false" customWidth="true" hidden="false" outlineLevel="0" max="4098" min="4098" style="1" width="35.71"/>
    <col collapsed="false" customWidth="true" hidden="false" outlineLevel="0" max="4099" min="4099" style="1" width="117.85"/>
    <col collapsed="false" customWidth="false" hidden="false" outlineLevel="0" max="4352" min="4100" style="1" width="9.14"/>
    <col collapsed="false" customWidth="true" hidden="false" outlineLevel="0" max="4353" min="4353" style="1" width="3.86"/>
    <col collapsed="false" customWidth="true" hidden="false" outlineLevel="0" max="4354" min="4354" style="1" width="35.71"/>
    <col collapsed="false" customWidth="true" hidden="false" outlineLevel="0" max="4355" min="4355" style="1" width="117.85"/>
    <col collapsed="false" customWidth="false" hidden="false" outlineLevel="0" max="4608" min="4356" style="1" width="9.14"/>
    <col collapsed="false" customWidth="true" hidden="false" outlineLevel="0" max="4609" min="4609" style="1" width="3.86"/>
    <col collapsed="false" customWidth="true" hidden="false" outlineLevel="0" max="4610" min="4610" style="1" width="35.71"/>
    <col collapsed="false" customWidth="true" hidden="false" outlineLevel="0" max="4611" min="4611" style="1" width="117.85"/>
    <col collapsed="false" customWidth="false" hidden="false" outlineLevel="0" max="4864" min="4612" style="1" width="9.14"/>
    <col collapsed="false" customWidth="true" hidden="false" outlineLevel="0" max="4865" min="4865" style="1" width="3.86"/>
    <col collapsed="false" customWidth="true" hidden="false" outlineLevel="0" max="4866" min="4866" style="1" width="35.71"/>
    <col collapsed="false" customWidth="true" hidden="false" outlineLevel="0" max="4867" min="4867" style="1" width="117.85"/>
    <col collapsed="false" customWidth="false" hidden="false" outlineLevel="0" max="5120" min="4868" style="1" width="9.14"/>
    <col collapsed="false" customWidth="true" hidden="false" outlineLevel="0" max="5121" min="5121" style="1" width="3.86"/>
    <col collapsed="false" customWidth="true" hidden="false" outlineLevel="0" max="5122" min="5122" style="1" width="35.71"/>
    <col collapsed="false" customWidth="true" hidden="false" outlineLevel="0" max="5123" min="5123" style="1" width="117.85"/>
    <col collapsed="false" customWidth="false" hidden="false" outlineLevel="0" max="5376" min="5124" style="1" width="9.14"/>
    <col collapsed="false" customWidth="true" hidden="false" outlineLevel="0" max="5377" min="5377" style="1" width="3.86"/>
    <col collapsed="false" customWidth="true" hidden="false" outlineLevel="0" max="5378" min="5378" style="1" width="35.71"/>
    <col collapsed="false" customWidth="true" hidden="false" outlineLevel="0" max="5379" min="5379" style="1" width="117.85"/>
    <col collapsed="false" customWidth="false" hidden="false" outlineLevel="0" max="5632" min="5380" style="1" width="9.14"/>
    <col collapsed="false" customWidth="true" hidden="false" outlineLevel="0" max="5633" min="5633" style="1" width="3.86"/>
    <col collapsed="false" customWidth="true" hidden="false" outlineLevel="0" max="5634" min="5634" style="1" width="35.71"/>
    <col collapsed="false" customWidth="true" hidden="false" outlineLevel="0" max="5635" min="5635" style="1" width="117.85"/>
    <col collapsed="false" customWidth="false" hidden="false" outlineLevel="0" max="5888" min="5636" style="1" width="9.14"/>
    <col collapsed="false" customWidth="true" hidden="false" outlineLevel="0" max="5889" min="5889" style="1" width="3.86"/>
    <col collapsed="false" customWidth="true" hidden="false" outlineLevel="0" max="5890" min="5890" style="1" width="35.71"/>
    <col collapsed="false" customWidth="true" hidden="false" outlineLevel="0" max="5891" min="5891" style="1" width="117.85"/>
    <col collapsed="false" customWidth="false" hidden="false" outlineLevel="0" max="6144" min="5892" style="1" width="9.14"/>
    <col collapsed="false" customWidth="true" hidden="false" outlineLevel="0" max="6145" min="6145" style="1" width="3.86"/>
    <col collapsed="false" customWidth="true" hidden="false" outlineLevel="0" max="6146" min="6146" style="1" width="35.71"/>
    <col collapsed="false" customWidth="true" hidden="false" outlineLevel="0" max="6147" min="6147" style="1" width="117.85"/>
    <col collapsed="false" customWidth="false" hidden="false" outlineLevel="0" max="6400" min="6148" style="1" width="9.14"/>
    <col collapsed="false" customWidth="true" hidden="false" outlineLevel="0" max="6401" min="6401" style="1" width="3.86"/>
    <col collapsed="false" customWidth="true" hidden="false" outlineLevel="0" max="6402" min="6402" style="1" width="35.71"/>
    <col collapsed="false" customWidth="true" hidden="false" outlineLevel="0" max="6403" min="6403" style="1" width="117.85"/>
    <col collapsed="false" customWidth="false" hidden="false" outlineLevel="0" max="6656" min="6404" style="1" width="9.14"/>
    <col collapsed="false" customWidth="true" hidden="false" outlineLevel="0" max="6657" min="6657" style="1" width="3.86"/>
    <col collapsed="false" customWidth="true" hidden="false" outlineLevel="0" max="6658" min="6658" style="1" width="35.71"/>
    <col collapsed="false" customWidth="true" hidden="false" outlineLevel="0" max="6659" min="6659" style="1" width="117.85"/>
    <col collapsed="false" customWidth="false" hidden="false" outlineLevel="0" max="6912" min="6660" style="1" width="9.14"/>
    <col collapsed="false" customWidth="true" hidden="false" outlineLevel="0" max="6913" min="6913" style="1" width="3.86"/>
    <col collapsed="false" customWidth="true" hidden="false" outlineLevel="0" max="6914" min="6914" style="1" width="35.71"/>
    <col collapsed="false" customWidth="true" hidden="false" outlineLevel="0" max="6915" min="6915" style="1" width="117.85"/>
    <col collapsed="false" customWidth="false" hidden="false" outlineLevel="0" max="7168" min="6916" style="1" width="9.14"/>
    <col collapsed="false" customWidth="true" hidden="false" outlineLevel="0" max="7169" min="7169" style="1" width="3.86"/>
    <col collapsed="false" customWidth="true" hidden="false" outlineLevel="0" max="7170" min="7170" style="1" width="35.71"/>
    <col collapsed="false" customWidth="true" hidden="false" outlineLevel="0" max="7171" min="7171" style="1" width="117.85"/>
    <col collapsed="false" customWidth="false" hidden="false" outlineLevel="0" max="7424" min="7172" style="1" width="9.14"/>
    <col collapsed="false" customWidth="true" hidden="false" outlineLevel="0" max="7425" min="7425" style="1" width="3.86"/>
    <col collapsed="false" customWidth="true" hidden="false" outlineLevel="0" max="7426" min="7426" style="1" width="35.71"/>
    <col collapsed="false" customWidth="true" hidden="false" outlineLevel="0" max="7427" min="7427" style="1" width="117.85"/>
    <col collapsed="false" customWidth="false" hidden="false" outlineLevel="0" max="7680" min="7428" style="1" width="9.14"/>
    <col collapsed="false" customWidth="true" hidden="false" outlineLevel="0" max="7681" min="7681" style="1" width="3.86"/>
    <col collapsed="false" customWidth="true" hidden="false" outlineLevel="0" max="7682" min="7682" style="1" width="35.71"/>
    <col collapsed="false" customWidth="true" hidden="false" outlineLevel="0" max="7683" min="7683" style="1" width="117.85"/>
    <col collapsed="false" customWidth="false" hidden="false" outlineLevel="0" max="7936" min="7684" style="1" width="9.14"/>
    <col collapsed="false" customWidth="true" hidden="false" outlineLevel="0" max="7937" min="7937" style="1" width="3.86"/>
    <col collapsed="false" customWidth="true" hidden="false" outlineLevel="0" max="7938" min="7938" style="1" width="35.71"/>
    <col collapsed="false" customWidth="true" hidden="false" outlineLevel="0" max="7939" min="7939" style="1" width="117.85"/>
    <col collapsed="false" customWidth="false" hidden="false" outlineLevel="0" max="8192" min="7940" style="1" width="9.14"/>
    <col collapsed="false" customWidth="true" hidden="false" outlineLevel="0" max="8193" min="8193" style="1" width="3.86"/>
    <col collapsed="false" customWidth="true" hidden="false" outlineLevel="0" max="8194" min="8194" style="1" width="35.71"/>
    <col collapsed="false" customWidth="true" hidden="false" outlineLevel="0" max="8195" min="8195" style="1" width="117.85"/>
    <col collapsed="false" customWidth="false" hidden="false" outlineLevel="0" max="8448" min="8196" style="1" width="9.14"/>
    <col collapsed="false" customWidth="true" hidden="false" outlineLevel="0" max="8449" min="8449" style="1" width="3.86"/>
    <col collapsed="false" customWidth="true" hidden="false" outlineLevel="0" max="8450" min="8450" style="1" width="35.71"/>
    <col collapsed="false" customWidth="true" hidden="false" outlineLevel="0" max="8451" min="8451" style="1" width="117.85"/>
    <col collapsed="false" customWidth="false" hidden="false" outlineLevel="0" max="8704" min="8452" style="1" width="9.14"/>
    <col collapsed="false" customWidth="true" hidden="false" outlineLevel="0" max="8705" min="8705" style="1" width="3.86"/>
    <col collapsed="false" customWidth="true" hidden="false" outlineLevel="0" max="8706" min="8706" style="1" width="35.71"/>
    <col collapsed="false" customWidth="true" hidden="false" outlineLevel="0" max="8707" min="8707" style="1" width="117.85"/>
    <col collapsed="false" customWidth="false" hidden="false" outlineLevel="0" max="8960" min="8708" style="1" width="9.14"/>
    <col collapsed="false" customWidth="true" hidden="false" outlineLevel="0" max="8961" min="8961" style="1" width="3.86"/>
    <col collapsed="false" customWidth="true" hidden="false" outlineLevel="0" max="8962" min="8962" style="1" width="35.71"/>
    <col collapsed="false" customWidth="true" hidden="false" outlineLevel="0" max="8963" min="8963" style="1" width="117.85"/>
    <col collapsed="false" customWidth="false" hidden="false" outlineLevel="0" max="9216" min="8964" style="1" width="9.14"/>
    <col collapsed="false" customWidth="true" hidden="false" outlineLevel="0" max="9217" min="9217" style="1" width="3.86"/>
    <col collapsed="false" customWidth="true" hidden="false" outlineLevel="0" max="9218" min="9218" style="1" width="35.71"/>
    <col collapsed="false" customWidth="true" hidden="false" outlineLevel="0" max="9219" min="9219" style="1" width="117.85"/>
    <col collapsed="false" customWidth="false" hidden="false" outlineLevel="0" max="9472" min="9220" style="1" width="9.14"/>
    <col collapsed="false" customWidth="true" hidden="false" outlineLevel="0" max="9473" min="9473" style="1" width="3.86"/>
    <col collapsed="false" customWidth="true" hidden="false" outlineLevel="0" max="9474" min="9474" style="1" width="35.71"/>
    <col collapsed="false" customWidth="true" hidden="false" outlineLevel="0" max="9475" min="9475" style="1" width="117.85"/>
    <col collapsed="false" customWidth="false" hidden="false" outlineLevel="0" max="9728" min="9476" style="1" width="9.14"/>
    <col collapsed="false" customWidth="true" hidden="false" outlineLevel="0" max="9729" min="9729" style="1" width="3.86"/>
    <col collapsed="false" customWidth="true" hidden="false" outlineLevel="0" max="9730" min="9730" style="1" width="35.71"/>
    <col collapsed="false" customWidth="true" hidden="false" outlineLevel="0" max="9731" min="9731" style="1" width="117.85"/>
    <col collapsed="false" customWidth="false" hidden="false" outlineLevel="0" max="9984" min="9732" style="1" width="9.14"/>
    <col collapsed="false" customWidth="true" hidden="false" outlineLevel="0" max="9985" min="9985" style="1" width="3.86"/>
    <col collapsed="false" customWidth="true" hidden="false" outlineLevel="0" max="9986" min="9986" style="1" width="35.71"/>
    <col collapsed="false" customWidth="true" hidden="false" outlineLevel="0" max="9987" min="9987" style="1" width="117.85"/>
    <col collapsed="false" customWidth="false" hidden="false" outlineLevel="0" max="10240" min="9988" style="1" width="9.14"/>
    <col collapsed="false" customWidth="true" hidden="false" outlineLevel="0" max="10241" min="10241" style="1" width="3.86"/>
    <col collapsed="false" customWidth="true" hidden="false" outlineLevel="0" max="10242" min="10242" style="1" width="35.71"/>
    <col collapsed="false" customWidth="true" hidden="false" outlineLevel="0" max="10243" min="10243" style="1" width="117.85"/>
    <col collapsed="false" customWidth="false" hidden="false" outlineLevel="0" max="10496" min="10244" style="1" width="9.14"/>
    <col collapsed="false" customWidth="true" hidden="false" outlineLevel="0" max="10497" min="10497" style="1" width="3.86"/>
    <col collapsed="false" customWidth="true" hidden="false" outlineLevel="0" max="10498" min="10498" style="1" width="35.71"/>
    <col collapsed="false" customWidth="true" hidden="false" outlineLevel="0" max="10499" min="10499" style="1" width="117.85"/>
    <col collapsed="false" customWidth="false" hidden="false" outlineLevel="0" max="10752" min="10500" style="1" width="9.14"/>
    <col collapsed="false" customWidth="true" hidden="false" outlineLevel="0" max="10753" min="10753" style="1" width="3.86"/>
    <col collapsed="false" customWidth="true" hidden="false" outlineLevel="0" max="10754" min="10754" style="1" width="35.71"/>
    <col collapsed="false" customWidth="true" hidden="false" outlineLevel="0" max="10755" min="10755" style="1" width="117.85"/>
    <col collapsed="false" customWidth="false" hidden="false" outlineLevel="0" max="11008" min="10756" style="1" width="9.14"/>
    <col collapsed="false" customWidth="true" hidden="false" outlineLevel="0" max="11009" min="11009" style="1" width="3.86"/>
    <col collapsed="false" customWidth="true" hidden="false" outlineLevel="0" max="11010" min="11010" style="1" width="35.71"/>
    <col collapsed="false" customWidth="true" hidden="false" outlineLevel="0" max="11011" min="11011" style="1" width="117.85"/>
    <col collapsed="false" customWidth="false" hidden="false" outlineLevel="0" max="11264" min="11012" style="1" width="9.14"/>
    <col collapsed="false" customWidth="true" hidden="false" outlineLevel="0" max="11265" min="11265" style="1" width="3.86"/>
    <col collapsed="false" customWidth="true" hidden="false" outlineLevel="0" max="11266" min="11266" style="1" width="35.71"/>
    <col collapsed="false" customWidth="true" hidden="false" outlineLevel="0" max="11267" min="11267" style="1" width="117.85"/>
    <col collapsed="false" customWidth="false" hidden="false" outlineLevel="0" max="11520" min="11268" style="1" width="9.14"/>
    <col collapsed="false" customWidth="true" hidden="false" outlineLevel="0" max="11521" min="11521" style="1" width="3.86"/>
    <col collapsed="false" customWidth="true" hidden="false" outlineLevel="0" max="11522" min="11522" style="1" width="35.71"/>
    <col collapsed="false" customWidth="true" hidden="false" outlineLevel="0" max="11523" min="11523" style="1" width="117.85"/>
    <col collapsed="false" customWidth="false" hidden="false" outlineLevel="0" max="11776" min="11524" style="1" width="9.14"/>
    <col collapsed="false" customWidth="true" hidden="false" outlineLevel="0" max="11777" min="11777" style="1" width="3.86"/>
    <col collapsed="false" customWidth="true" hidden="false" outlineLevel="0" max="11778" min="11778" style="1" width="35.71"/>
    <col collapsed="false" customWidth="true" hidden="false" outlineLevel="0" max="11779" min="11779" style="1" width="117.85"/>
    <col collapsed="false" customWidth="false" hidden="false" outlineLevel="0" max="12032" min="11780" style="1" width="9.14"/>
    <col collapsed="false" customWidth="true" hidden="false" outlineLevel="0" max="12033" min="12033" style="1" width="3.86"/>
    <col collapsed="false" customWidth="true" hidden="false" outlineLevel="0" max="12034" min="12034" style="1" width="35.71"/>
    <col collapsed="false" customWidth="true" hidden="false" outlineLevel="0" max="12035" min="12035" style="1" width="117.85"/>
    <col collapsed="false" customWidth="false" hidden="false" outlineLevel="0" max="12288" min="12036" style="1" width="9.14"/>
    <col collapsed="false" customWidth="true" hidden="false" outlineLevel="0" max="12289" min="12289" style="1" width="3.86"/>
    <col collapsed="false" customWidth="true" hidden="false" outlineLevel="0" max="12290" min="12290" style="1" width="35.71"/>
    <col collapsed="false" customWidth="true" hidden="false" outlineLevel="0" max="12291" min="12291" style="1" width="117.85"/>
    <col collapsed="false" customWidth="false" hidden="false" outlineLevel="0" max="12544" min="12292" style="1" width="9.14"/>
    <col collapsed="false" customWidth="true" hidden="false" outlineLevel="0" max="12545" min="12545" style="1" width="3.86"/>
    <col collapsed="false" customWidth="true" hidden="false" outlineLevel="0" max="12546" min="12546" style="1" width="35.71"/>
    <col collapsed="false" customWidth="true" hidden="false" outlineLevel="0" max="12547" min="12547" style="1" width="117.85"/>
    <col collapsed="false" customWidth="false" hidden="false" outlineLevel="0" max="12800" min="12548" style="1" width="9.14"/>
    <col collapsed="false" customWidth="true" hidden="false" outlineLevel="0" max="12801" min="12801" style="1" width="3.86"/>
    <col collapsed="false" customWidth="true" hidden="false" outlineLevel="0" max="12802" min="12802" style="1" width="35.71"/>
    <col collapsed="false" customWidth="true" hidden="false" outlineLevel="0" max="12803" min="12803" style="1" width="117.85"/>
    <col collapsed="false" customWidth="false" hidden="false" outlineLevel="0" max="13056" min="12804" style="1" width="9.14"/>
    <col collapsed="false" customWidth="true" hidden="false" outlineLevel="0" max="13057" min="13057" style="1" width="3.86"/>
    <col collapsed="false" customWidth="true" hidden="false" outlineLevel="0" max="13058" min="13058" style="1" width="35.71"/>
    <col collapsed="false" customWidth="true" hidden="false" outlineLevel="0" max="13059" min="13059" style="1" width="117.85"/>
    <col collapsed="false" customWidth="false" hidden="false" outlineLevel="0" max="13312" min="13060" style="1" width="9.14"/>
    <col collapsed="false" customWidth="true" hidden="false" outlineLevel="0" max="13313" min="13313" style="1" width="3.86"/>
    <col collapsed="false" customWidth="true" hidden="false" outlineLevel="0" max="13314" min="13314" style="1" width="35.71"/>
    <col collapsed="false" customWidth="true" hidden="false" outlineLevel="0" max="13315" min="13315" style="1" width="117.85"/>
    <col collapsed="false" customWidth="false" hidden="false" outlineLevel="0" max="13568" min="13316" style="1" width="9.14"/>
    <col collapsed="false" customWidth="true" hidden="false" outlineLevel="0" max="13569" min="13569" style="1" width="3.86"/>
    <col collapsed="false" customWidth="true" hidden="false" outlineLevel="0" max="13570" min="13570" style="1" width="35.71"/>
    <col collapsed="false" customWidth="true" hidden="false" outlineLevel="0" max="13571" min="13571" style="1" width="117.85"/>
    <col collapsed="false" customWidth="false" hidden="false" outlineLevel="0" max="13824" min="13572" style="1" width="9.14"/>
    <col collapsed="false" customWidth="true" hidden="false" outlineLevel="0" max="13825" min="13825" style="1" width="3.86"/>
    <col collapsed="false" customWidth="true" hidden="false" outlineLevel="0" max="13826" min="13826" style="1" width="35.71"/>
    <col collapsed="false" customWidth="true" hidden="false" outlineLevel="0" max="13827" min="13827" style="1" width="117.85"/>
    <col collapsed="false" customWidth="false" hidden="false" outlineLevel="0" max="14080" min="13828" style="1" width="9.14"/>
    <col collapsed="false" customWidth="true" hidden="false" outlineLevel="0" max="14081" min="14081" style="1" width="3.86"/>
    <col collapsed="false" customWidth="true" hidden="false" outlineLevel="0" max="14082" min="14082" style="1" width="35.71"/>
    <col collapsed="false" customWidth="true" hidden="false" outlineLevel="0" max="14083" min="14083" style="1" width="117.85"/>
    <col collapsed="false" customWidth="false" hidden="false" outlineLevel="0" max="14336" min="14084" style="1" width="9.14"/>
    <col collapsed="false" customWidth="true" hidden="false" outlineLevel="0" max="14337" min="14337" style="1" width="3.86"/>
    <col collapsed="false" customWidth="true" hidden="false" outlineLevel="0" max="14338" min="14338" style="1" width="35.71"/>
    <col collapsed="false" customWidth="true" hidden="false" outlineLevel="0" max="14339" min="14339" style="1" width="117.85"/>
    <col collapsed="false" customWidth="false" hidden="false" outlineLevel="0" max="14592" min="14340" style="1" width="9.14"/>
    <col collapsed="false" customWidth="true" hidden="false" outlineLevel="0" max="14593" min="14593" style="1" width="3.86"/>
    <col collapsed="false" customWidth="true" hidden="false" outlineLevel="0" max="14594" min="14594" style="1" width="35.71"/>
    <col collapsed="false" customWidth="true" hidden="false" outlineLevel="0" max="14595" min="14595" style="1" width="117.85"/>
    <col collapsed="false" customWidth="false" hidden="false" outlineLevel="0" max="14848" min="14596" style="1" width="9.14"/>
    <col collapsed="false" customWidth="true" hidden="false" outlineLevel="0" max="14849" min="14849" style="1" width="3.86"/>
    <col collapsed="false" customWidth="true" hidden="false" outlineLevel="0" max="14850" min="14850" style="1" width="35.71"/>
    <col collapsed="false" customWidth="true" hidden="false" outlineLevel="0" max="14851" min="14851" style="1" width="117.85"/>
    <col collapsed="false" customWidth="false" hidden="false" outlineLevel="0" max="15104" min="14852" style="1" width="9.14"/>
    <col collapsed="false" customWidth="true" hidden="false" outlineLevel="0" max="15105" min="15105" style="1" width="3.86"/>
    <col collapsed="false" customWidth="true" hidden="false" outlineLevel="0" max="15106" min="15106" style="1" width="35.71"/>
    <col collapsed="false" customWidth="true" hidden="false" outlineLevel="0" max="15107" min="15107" style="1" width="117.85"/>
    <col collapsed="false" customWidth="false" hidden="false" outlineLevel="0" max="15360" min="15108" style="1" width="9.14"/>
    <col collapsed="false" customWidth="true" hidden="false" outlineLevel="0" max="15361" min="15361" style="1" width="3.86"/>
    <col collapsed="false" customWidth="true" hidden="false" outlineLevel="0" max="15362" min="15362" style="1" width="35.71"/>
    <col collapsed="false" customWidth="true" hidden="false" outlineLevel="0" max="15363" min="15363" style="1" width="117.85"/>
    <col collapsed="false" customWidth="false" hidden="false" outlineLevel="0" max="15616" min="15364" style="1" width="9.14"/>
    <col collapsed="false" customWidth="true" hidden="false" outlineLevel="0" max="15617" min="15617" style="1" width="3.86"/>
    <col collapsed="false" customWidth="true" hidden="false" outlineLevel="0" max="15618" min="15618" style="1" width="35.71"/>
    <col collapsed="false" customWidth="true" hidden="false" outlineLevel="0" max="15619" min="15619" style="1" width="117.85"/>
    <col collapsed="false" customWidth="false" hidden="false" outlineLevel="0" max="15872" min="15620" style="1" width="9.14"/>
    <col collapsed="false" customWidth="true" hidden="false" outlineLevel="0" max="15873" min="15873" style="1" width="3.86"/>
    <col collapsed="false" customWidth="true" hidden="false" outlineLevel="0" max="15874" min="15874" style="1" width="35.71"/>
    <col collapsed="false" customWidth="true" hidden="false" outlineLevel="0" max="15875" min="15875" style="1" width="117.85"/>
    <col collapsed="false" customWidth="false" hidden="false" outlineLevel="0" max="16128" min="15876" style="1" width="9.14"/>
    <col collapsed="false" customWidth="true" hidden="false" outlineLevel="0" max="16129" min="16129" style="1" width="3.86"/>
    <col collapsed="false" customWidth="true" hidden="false" outlineLevel="0" max="16130" min="16130" style="1" width="35.71"/>
    <col collapsed="false" customWidth="true" hidden="false" outlineLevel="0" max="16131" min="16131" style="1" width="117.85"/>
    <col collapsed="false" customWidth="false" hidden="false" outlineLevel="0" max="16384" min="16132" style="1" width="9.14"/>
  </cols>
  <sheetData>
    <row r="1" customFormat="false" ht="32.25" hidden="false" customHeight="true" outlineLevel="0" collapsed="false">
      <c r="B1" s="2" t="s">
        <v>0</v>
      </c>
      <c r="C1" s="2"/>
    </row>
    <row r="2" customFormat="false" ht="35.25" hidden="false" customHeight="true" outlineLevel="0" collapsed="false">
      <c r="B2" s="3" t="s">
        <v>1</v>
      </c>
      <c r="C2" s="3"/>
    </row>
    <row r="3" customFormat="false" ht="23.25" hidden="false" customHeight="true" outlineLevel="0" collapsed="false">
      <c r="B3" s="4"/>
      <c r="C3" s="4"/>
    </row>
    <row r="4" customFormat="false" ht="25.5" hidden="false" customHeight="true" outlineLevel="0" collapsed="false">
      <c r="B4" s="5" t="s">
        <v>2</v>
      </c>
      <c r="C4" s="5"/>
    </row>
    <row r="5" customFormat="false" ht="25.5" hidden="false" customHeight="true" outlineLevel="0" collapsed="false">
      <c r="B5" s="6" t="s">
        <v>3</v>
      </c>
      <c r="C5" s="6"/>
    </row>
    <row r="6" customFormat="false" ht="25.5" hidden="false" customHeight="true" outlineLevel="0" collapsed="false">
      <c r="B6" s="6" t="s">
        <v>4</v>
      </c>
      <c r="C6" s="6"/>
    </row>
    <row r="7" customFormat="false" ht="25.5" hidden="false" customHeight="true" outlineLevel="0" collapsed="false">
      <c r="B7" s="6" t="s">
        <v>5</v>
      </c>
      <c r="C7" s="6"/>
    </row>
    <row r="8" customFormat="false" ht="25.5" hidden="false" customHeight="true" outlineLevel="0" collapsed="false">
      <c r="B8" s="6" t="s">
        <v>6</v>
      </c>
      <c r="C8" s="6"/>
    </row>
    <row r="9" customFormat="false" ht="25.5" hidden="false" customHeight="true" outlineLevel="0" collapsed="false">
      <c r="B9" s="6" t="s">
        <v>7</v>
      </c>
      <c r="C9" s="6"/>
    </row>
    <row r="10" customFormat="false" ht="25.5" hidden="false" customHeight="true" outlineLevel="0" collapsed="false">
      <c r="B10" s="6" t="s">
        <v>8</v>
      </c>
      <c r="C10" s="6"/>
    </row>
    <row r="11" customFormat="false" ht="25.5" hidden="false" customHeight="true" outlineLevel="0" collapsed="false">
      <c r="B11" s="7" t="s">
        <v>9</v>
      </c>
      <c r="C11" s="7"/>
    </row>
    <row r="12" customFormat="false" ht="25.5" hidden="false" customHeight="true" outlineLevel="0" collapsed="false">
      <c r="B12" s="6" t="s">
        <v>10</v>
      </c>
      <c r="C12" s="6"/>
    </row>
    <row r="13" customFormat="false" ht="25.5" hidden="false" customHeight="true" outlineLevel="0" collapsed="false">
      <c r="B13" s="8" t="s">
        <v>11</v>
      </c>
      <c r="C13" s="8"/>
    </row>
    <row r="14" customFormat="false" ht="25.5" hidden="false" customHeight="true" outlineLevel="0" collapsed="false">
      <c r="B14" s="6" t="s">
        <v>12</v>
      </c>
      <c r="C14" s="6"/>
    </row>
    <row r="15" customFormat="false" ht="25.5" hidden="false" customHeight="true" outlineLevel="0" collapsed="false">
      <c r="B15" s="6" t="s">
        <v>13</v>
      </c>
      <c r="C15" s="6"/>
    </row>
    <row r="16" customFormat="false" ht="25.5" hidden="false" customHeight="true" outlineLevel="0" collapsed="false">
      <c r="B16" s="6" t="s">
        <v>14</v>
      </c>
      <c r="C16" s="6"/>
    </row>
    <row r="17" customFormat="false" ht="25.5" hidden="false" customHeight="true" outlineLevel="0" collapsed="false">
      <c r="B17" s="6" t="s">
        <v>15</v>
      </c>
      <c r="C17" s="6"/>
    </row>
    <row r="18" customFormat="false" ht="25.5" hidden="false" customHeight="true" outlineLevel="0" collapsed="false">
      <c r="B18" s="6" t="s">
        <v>16</v>
      </c>
      <c r="C18" s="6"/>
    </row>
    <row r="19" customFormat="false" ht="25.5" hidden="false" customHeight="true" outlineLevel="0" collapsed="false">
      <c r="B19" s="8" t="s">
        <v>17</v>
      </c>
      <c r="C19" s="8"/>
    </row>
    <row r="20" customFormat="false" ht="25.5" hidden="false" customHeight="true" outlineLevel="0" collapsed="false">
      <c r="B20" s="8" t="s">
        <v>18</v>
      </c>
      <c r="C20" s="8"/>
    </row>
    <row r="21" customFormat="false" ht="25.5" hidden="false" customHeight="true" outlineLevel="0" collapsed="false">
      <c r="B21" s="6" t="s">
        <v>19</v>
      </c>
      <c r="C21" s="6"/>
    </row>
    <row r="22" customFormat="false" ht="25.5" hidden="false" customHeight="true" outlineLevel="0" collapsed="false">
      <c r="B22" s="9"/>
      <c r="C22" s="10"/>
    </row>
    <row r="23" customFormat="false" ht="25.5" hidden="false" customHeight="true" outlineLevel="0" collapsed="false">
      <c r="B23" s="11" t="s">
        <v>20</v>
      </c>
      <c r="C23" s="11"/>
    </row>
    <row r="24" customFormat="false" ht="25.5" hidden="false" customHeight="true" outlineLevel="0" collapsed="false">
      <c r="B24" s="11"/>
      <c r="C24" s="11"/>
    </row>
    <row r="25" customFormat="false" ht="25.5" hidden="false" customHeight="true" outlineLevel="0" collapsed="false">
      <c r="B25" s="12" t="s">
        <v>21</v>
      </c>
      <c r="C25" s="12"/>
    </row>
    <row r="26" customFormat="false" ht="25.5" hidden="false" customHeight="true" outlineLevel="0" collapsed="false">
      <c r="B26" s="12" t="s">
        <v>22</v>
      </c>
      <c r="C26" s="12"/>
    </row>
    <row r="27" customFormat="false" ht="51.75" hidden="false" customHeight="true" outlineLevel="0" collapsed="false">
      <c r="B27" s="13" t="s">
        <v>23</v>
      </c>
      <c r="C27" s="14" t="s">
        <v>24</v>
      </c>
    </row>
    <row r="28" customFormat="false" ht="26.25" hidden="false" customHeight="true" outlineLevel="0" collapsed="false">
      <c r="B28" s="13" t="s">
        <v>25</v>
      </c>
      <c r="C28" s="14" t="s">
        <v>26</v>
      </c>
    </row>
    <row r="29" customFormat="false" ht="26.25" hidden="false" customHeight="true" outlineLevel="0" collapsed="false">
      <c r="B29" s="15" t="s">
        <v>27</v>
      </c>
      <c r="C29" s="14" t="s">
        <v>28</v>
      </c>
    </row>
    <row r="30" customFormat="false" ht="39" hidden="false" customHeight="true" outlineLevel="0" collapsed="false">
      <c r="B30" s="16" t="s">
        <v>29</v>
      </c>
      <c r="C30" s="14" t="s">
        <v>30</v>
      </c>
    </row>
    <row r="31" customFormat="false" ht="39" hidden="false" customHeight="true" outlineLevel="0" collapsed="false">
      <c r="B31" s="15" t="s">
        <v>31</v>
      </c>
      <c r="C31" s="14" t="s">
        <v>32</v>
      </c>
    </row>
    <row r="32" customFormat="false" ht="18.75" hidden="false" customHeight="true" outlineLevel="0" collapsed="false">
      <c r="B32" s="17" t="s">
        <v>33</v>
      </c>
      <c r="C32" s="18" t="s">
        <v>34</v>
      </c>
    </row>
    <row r="33" customFormat="false" ht="18.75" hidden="false" customHeight="true" outlineLevel="0" collapsed="false">
      <c r="B33" s="17" t="s">
        <v>35</v>
      </c>
      <c r="C33" s="18" t="s">
        <v>36</v>
      </c>
    </row>
    <row r="34" customFormat="false" ht="18.75" hidden="false" customHeight="true" outlineLevel="0" collapsed="false">
      <c r="B34" s="17" t="s">
        <v>37</v>
      </c>
      <c r="C34" s="18" t="s">
        <v>36</v>
      </c>
    </row>
    <row r="35" customFormat="false" ht="26.25" hidden="false" customHeight="true" outlineLevel="0" collapsed="false">
      <c r="B35" s="15" t="s">
        <v>38</v>
      </c>
      <c r="C35" s="14" t="s">
        <v>39</v>
      </c>
    </row>
    <row r="36" customFormat="false" ht="39" hidden="false" customHeight="true" outlineLevel="0" collapsed="false">
      <c r="B36" s="15" t="s">
        <v>40</v>
      </c>
      <c r="C36" s="14" t="s">
        <v>41</v>
      </c>
    </row>
    <row r="37" customFormat="false" ht="26.25" hidden="false" customHeight="true" outlineLevel="0" collapsed="false">
      <c r="B37" s="15" t="s">
        <v>42</v>
      </c>
      <c r="C37" s="14" t="s">
        <v>43</v>
      </c>
    </row>
    <row r="38" customFormat="false" ht="15.75" hidden="false" customHeight="true" outlineLevel="0" collapsed="false">
      <c r="B38" s="15"/>
      <c r="C38" s="14"/>
    </row>
    <row r="39" customFormat="false" ht="15" hidden="false" customHeight="true" outlineLevel="0" collapsed="false">
      <c r="B39" s="19" t="s">
        <v>44</v>
      </c>
      <c r="C39" s="19"/>
    </row>
    <row r="40" customFormat="false" ht="15.75" hidden="false" customHeight="true" outlineLevel="0" collapsed="false">
      <c r="B40" s="19" t="s">
        <v>45</v>
      </c>
      <c r="C40" s="19"/>
    </row>
    <row r="41" customFormat="false" ht="32.25" hidden="false" customHeight="true" outlineLevel="0" collapsed="false">
      <c r="B41" s="15" t="s">
        <v>46</v>
      </c>
      <c r="C41" s="14" t="s">
        <v>47</v>
      </c>
    </row>
    <row r="42" customFormat="false" ht="23.25" hidden="false" customHeight="true" outlineLevel="0" collapsed="false">
      <c r="B42" s="15" t="s">
        <v>48</v>
      </c>
      <c r="C42" s="14" t="s">
        <v>49</v>
      </c>
    </row>
    <row r="43" customFormat="false" ht="27.75" hidden="false" customHeight="true" outlineLevel="0" collapsed="false">
      <c r="B43" s="15" t="s">
        <v>50</v>
      </c>
      <c r="C43" s="14" t="s">
        <v>51</v>
      </c>
    </row>
    <row r="44" customFormat="false" ht="15.75" hidden="false" customHeight="true" outlineLevel="0" collapsed="false">
      <c r="B44" s="19" t="s">
        <v>52</v>
      </c>
      <c r="C44" s="19"/>
    </row>
    <row r="45" customFormat="false" ht="16.5" hidden="false" customHeight="true" outlineLevel="0" collapsed="false">
      <c r="B45" s="19" t="s">
        <v>53</v>
      </c>
      <c r="C45" s="19"/>
    </row>
    <row r="46" customFormat="false" ht="37.5" hidden="false" customHeight="true" outlineLevel="0" collapsed="false">
      <c r="B46" s="15" t="s">
        <v>54</v>
      </c>
      <c r="C46" s="14" t="s">
        <v>55</v>
      </c>
    </row>
    <row r="47" customFormat="false" ht="40.5" hidden="false" customHeight="true" outlineLevel="0" collapsed="false">
      <c r="B47" s="15" t="s">
        <v>56</v>
      </c>
      <c r="C47" s="14" t="s">
        <v>55</v>
      </c>
    </row>
    <row r="48" customFormat="false" ht="34.5" hidden="false" customHeight="true" outlineLevel="0" collapsed="false">
      <c r="B48" s="15" t="s">
        <v>57</v>
      </c>
      <c r="C48" s="14" t="s">
        <v>55</v>
      </c>
    </row>
    <row r="49" customFormat="false" ht="24" hidden="false" customHeight="true" outlineLevel="0" collapsed="false">
      <c r="B49" s="20" t="s">
        <v>58</v>
      </c>
      <c r="C49" s="20"/>
    </row>
    <row r="50" customFormat="false" ht="23.25" hidden="false" customHeight="true" outlineLevel="0" collapsed="false">
      <c r="B50" s="21"/>
      <c r="C50" s="22"/>
    </row>
    <row r="51" customFormat="false" ht="25.5" hidden="false" customHeight="true" outlineLevel="0" collapsed="false">
      <c r="B51" s="12" t="s">
        <v>59</v>
      </c>
      <c r="C51" s="12"/>
    </row>
    <row r="52" customFormat="false" ht="25.5" hidden="false" customHeight="true" outlineLevel="0" collapsed="false">
      <c r="B52" s="12" t="s">
        <v>60</v>
      </c>
      <c r="C52" s="12"/>
    </row>
    <row r="53" customFormat="false" ht="51" hidden="false" customHeight="true" outlineLevel="0" collapsed="false">
      <c r="B53" s="15" t="s">
        <v>61</v>
      </c>
      <c r="C53" s="14" t="s">
        <v>62</v>
      </c>
    </row>
    <row r="54" customFormat="false" ht="33.75" hidden="false" customHeight="true" outlineLevel="0" collapsed="false">
      <c r="B54" s="15" t="s">
        <v>63</v>
      </c>
      <c r="C54" s="14" t="s">
        <v>64</v>
      </c>
    </row>
    <row r="55" customFormat="false" ht="39" hidden="false" customHeight="true" outlineLevel="0" collapsed="false">
      <c r="B55" s="15" t="s">
        <v>65</v>
      </c>
      <c r="C55" s="14" t="s">
        <v>66</v>
      </c>
    </row>
    <row r="56" customFormat="false" ht="25.5" hidden="false" customHeight="true" outlineLevel="0" collapsed="false">
      <c r="B56" s="20" t="s">
        <v>58</v>
      </c>
      <c r="C56" s="20"/>
    </row>
    <row r="57" customFormat="false" ht="25.5" hidden="false" customHeight="true" outlineLevel="0" collapsed="false">
      <c r="B57" s="23"/>
      <c r="C57" s="22"/>
    </row>
    <row r="58" customFormat="false" ht="25.5" hidden="false" customHeight="true" outlineLevel="0" collapsed="false">
      <c r="B58" s="12" t="s">
        <v>67</v>
      </c>
      <c r="C58" s="12"/>
    </row>
    <row r="59" customFormat="false" ht="25.5" hidden="false" customHeight="true" outlineLevel="0" collapsed="false">
      <c r="B59" s="12" t="s">
        <v>68</v>
      </c>
      <c r="C59" s="12"/>
    </row>
    <row r="60" customFormat="false" ht="64.5" hidden="false" customHeight="true" outlineLevel="0" collapsed="false">
      <c r="B60" s="24" t="s">
        <v>69</v>
      </c>
      <c r="C60" s="14" t="s">
        <v>70</v>
      </c>
    </row>
    <row r="61" customFormat="false" ht="26.25" hidden="false" customHeight="true" outlineLevel="0" collapsed="false">
      <c r="B61" s="24" t="s">
        <v>23</v>
      </c>
      <c r="C61" s="14" t="s">
        <v>71</v>
      </c>
    </row>
    <row r="62" customFormat="false" ht="26.25" hidden="false" customHeight="true" outlineLevel="0" collapsed="false">
      <c r="B62" s="15" t="s">
        <v>72</v>
      </c>
      <c r="C62" s="14" t="s">
        <v>73</v>
      </c>
    </row>
    <row r="63" customFormat="false" ht="25.5" hidden="false" customHeight="true" outlineLevel="0" collapsed="false">
      <c r="B63" s="24" t="s">
        <v>74</v>
      </c>
      <c r="C63" s="14" t="s">
        <v>75</v>
      </c>
    </row>
    <row r="64" customFormat="false" ht="51.75" hidden="false" customHeight="true" outlineLevel="0" collapsed="false">
      <c r="B64" s="15" t="s">
        <v>76</v>
      </c>
      <c r="C64" s="14" t="s">
        <v>77</v>
      </c>
    </row>
    <row r="65" customFormat="false" ht="25.5" hidden="false" customHeight="true" outlineLevel="0" collapsed="false">
      <c r="B65" s="15" t="s">
        <v>78</v>
      </c>
      <c r="C65" s="14" t="s">
        <v>79</v>
      </c>
    </row>
    <row r="66" customFormat="false" ht="25.5" hidden="false" customHeight="true" outlineLevel="0" collapsed="false">
      <c r="B66" s="24" t="s">
        <v>80</v>
      </c>
      <c r="C66" s="14" t="s">
        <v>81</v>
      </c>
    </row>
    <row r="67" customFormat="false" ht="42" hidden="false" customHeight="true" outlineLevel="0" collapsed="false">
      <c r="B67" s="14" t="s">
        <v>82</v>
      </c>
      <c r="C67" s="14" t="s">
        <v>83</v>
      </c>
    </row>
    <row r="68" customFormat="false" ht="137.25" hidden="false" customHeight="true" outlineLevel="0" collapsed="false">
      <c r="B68" s="13" t="s">
        <v>84</v>
      </c>
      <c r="C68" s="14" t="s">
        <v>85</v>
      </c>
    </row>
    <row r="69" customFormat="false" ht="27" hidden="false" customHeight="true" outlineLevel="0" collapsed="false">
      <c r="B69" s="25" t="s">
        <v>86</v>
      </c>
      <c r="C69" s="26" t="s">
        <v>87</v>
      </c>
    </row>
    <row r="70" customFormat="false" ht="27" hidden="false" customHeight="true" outlineLevel="0" collapsed="false">
      <c r="B70" s="25" t="s">
        <v>88</v>
      </c>
      <c r="C70" s="26"/>
    </row>
    <row r="71" customFormat="false" ht="27" hidden="false" customHeight="true" outlineLevel="0" collapsed="false">
      <c r="B71" s="25" t="s">
        <v>89</v>
      </c>
      <c r="C71" s="26"/>
    </row>
    <row r="72" customFormat="false" ht="27" hidden="false" customHeight="true" outlineLevel="0" collapsed="false">
      <c r="B72" s="25" t="s">
        <v>90</v>
      </c>
      <c r="C72" s="26"/>
    </row>
    <row r="73" customFormat="false" ht="27" hidden="false" customHeight="true" outlineLevel="0" collapsed="false">
      <c r="B73" s="25" t="s">
        <v>91</v>
      </c>
      <c r="C73" s="26"/>
    </row>
    <row r="74" customFormat="false" ht="27" hidden="false" customHeight="true" outlineLevel="0" collapsed="false">
      <c r="B74" s="25" t="s">
        <v>92</v>
      </c>
      <c r="C74" s="26"/>
    </row>
    <row r="75" customFormat="false" ht="27" hidden="false" customHeight="true" outlineLevel="0" collapsed="false">
      <c r="B75" s="25" t="s">
        <v>93</v>
      </c>
      <c r="C75" s="26"/>
    </row>
    <row r="76" customFormat="false" ht="27" hidden="false" customHeight="true" outlineLevel="0" collapsed="false">
      <c r="B76" s="25" t="s">
        <v>94</v>
      </c>
      <c r="C76" s="26"/>
    </row>
    <row r="77" customFormat="false" ht="27" hidden="false" customHeight="true" outlineLevel="0" collapsed="false">
      <c r="B77" s="25" t="s">
        <v>95</v>
      </c>
      <c r="C77" s="26"/>
    </row>
    <row r="78" customFormat="false" ht="27" hidden="false" customHeight="true" outlineLevel="0" collapsed="false">
      <c r="B78" s="25" t="s">
        <v>96</v>
      </c>
      <c r="C78" s="26"/>
    </row>
    <row r="79" customFormat="false" ht="27" hidden="false" customHeight="true" outlineLevel="0" collapsed="false">
      <c r="B79" s="25" t="s">
        <v>97</v>
      </c>
      <c r="C79" s="26"/>
    </row>
    <row r="80" customFormat="false" ht="27" hidden="false" customHeight="true" outlineLevel="0" collapsed="false">
      <c r="B80" s="25" t="s">
        <v>98</v>
      </c>
      <c r="C80" s="26"/>
    </row>
    <row r="81" customFormat="false" ht="27" hidden="false" customHeight="true" outlineLevel="0" collapsed="false">
      <c r="B81" s="25" t="s">
        <v>99</v>
      </c>
      <c r="C81" s="26"/>
    </row>
    <row r="82" customFormat="false" ht="27" hidden="false" customHeight="true" outlineLevel="0" collapsed="false">
      <c r="B82" s="25" t="s">
        <v>100</v>
      </c>
      <c r="C82" s="26"/>
    </row>
    <row r="83" customFormat="false" ht="27" hidden="false" customHeight="true" outlineLevel="0" collapsed="false">
      <c r="B83" s="25" t="s">
        <v>101</v>
      </c>
      <c r="C83" s="26"/>
    </row>
    <row r="84" customFormat="false" ht="27" hidden="false" customHeight="true" outlineLevel="0" collapsed="false">
      <c r="B84" s="25" t="s">
        <v>102</v>
      </c>
      <c r="C84" s="26"/>
    </row>
    <row r="85" customFormat="false" ht="27" hidden="false" customHeight="true" outlineLevel="0" collapsed="false">
      <c r="B85" s="25" t="s">
        <v>103</v>
      </c>
      <c r="C85" s="26"/>
    </row>
    <row r="86" customFormat="false" ht="27" hidden="false" customHeight="true" outlineLevel="0" collapsed="false">
      <c r="B86" s="25" t="s">
        <v>104</v>
      </c>
      <c r="C86" s="26"/>
    </row>
    <row r="87" customFormat="false" ht="36.75" hidden="false" customHeight="true" outlineLevel="0" collapsed="false">
      <c r="B87" s="20" t="s">
        <v>58</v>
      </c>
      <c r="C87" s="20"/>
    </row>
    <row r="88" customFormat="false" ht="36" hidden="false" customHeight="true" outlineLevel="0" collapsed="false">
      <c r="B88" s="27"/>
    </row>
    <row r="89" customFormat="false" ht="25.5" hidden="false" customHeight="true" outlineLevel="0" collapsed="false">
      <c r="B89" s="12" t="s">
        <v>105</v>
      </c>
      <c r="C89" s="12"/>
    </row>
    <row r="90" customFormat="false" ht="25.5" hidden="false" customHeight="true" outlineLevel="0" collapsed="false">
      <c r="B90" s="12" t="s">
        <v>60</v>
      </c>
      <c r="C90" s="12"/>
    </row>
    <row r="91" customFormat="false" ht="25.5" hidden="false" customHeight="true" outlineLevel="0" collapsed="false">
      <c r="B91" s="12" t="s">
        <v>106</v>
      </c>
      <c r="C91" s="12"/>
    </row>
    <row r="92" customFormat="false" ht="25.5" hidden="false" customHeight="true" outlineLevel="0" collapsed="false">
      <c r="B92" s="12" t="s">
        <v>107</v>
      </c>
      <c r="C92" s="12"/>
    </row>
    <row r="93" customFormat="false" ht="35.25" hidden="false" customHeight="true" outlineLevel="0" collapsed="false">
      <c r="B93" s="24" t="s">
        <v>23</v>
      </c>
      <c r="C93" s="14" t="s">
        <v>108</v>
      </c>
    </row>
    <row r="94" customFormat="false" ht="26.25" hidden="false" customHeight="true" outlineLevel="0" collapsed="false">
      <c r="B94" s="15" t="s">
        <v>72</v>
      </c>
      <c r="C94" s="28" t="s">
        <v>109</v>
      </c>
    </row>
    <row r="95" customFormat="false" ht="25.5" hidden="false" customHeight="true" outlineLevel="0" collapsed="false">
      <c r="B95" s="15" t="s">
        <v>110</v>
      </c>
      <c r="C95" s="14" t="s">
        <v>111</v>
      </c>
    </row>
    <row r="96" customFormat="false" ht="39" hidden="false" customHeight="true" outlineLevel="0" collapsed="false">
      <c r="B96" s="15" t="s">
        <v>76</v>
      </c>
      <c r="C96" s="14" t="s">
        <v>112</v>
      </c>
    </row>
    <row r="97" customFormat="false" ht="25.5" hidden="false" customHeight="true" outlineLevel="0" collapsed="false">
      <c r="B97" s="29" t="s">
        <v>113</v>
      </c>
      <c r="C97" s="30" t="s">
        <v>114</v>
      </c>
    </row>
    <row r="98" customFormat="false" ht="25.5" hidden="false" customHeight="true" outlineLevel="0" collapsed="false">
      <c r="B98" s="29" t="s">
        <v>115</v>
      </c>
      <c r="C98" s="30"/>
    </row>
    <row r="99" customFormat="false" ht="25.5" hidden="false" customHeight="true" outlineLevel="0" collapsed="false">
      <c r="B99" s="29" t="s">
        <v>116</v>
      </c>
      <c r="C99" s="30"/>
    </row>
    <row r="100" customFormat="false" ht="25.5" hidden="false" customHeight="true" outlineLevel="0" collapsed="false">
      <c r="B100" s="29" t="s">
        <v>117</v>
      </c>
      <c r="C100" s="30"/>
    </row>
    <row r="101" customFormat="false" ht="25.5" hidden="false" customHeight="true" outlineLevel="0" collapsed="false">
      <c r="B101" s="29" t="s">
        <v>118</v>
      </c>
      <c r="C101" s="30"/>
    </row>
    <row r="102" customFormat="false" ht="25.5" hidden="false" customHeight="true" outlineLevel="0" collapsed="false">
      <c r="B102" s="29" t="s">
        <v>119</v>
      </c>
      <c r="C102" s="30"/>
    </row>
    <row r="103" customFormat="false" ht="25.5" hidden="false" customHeight="true" outlineLevel="0" collapsed="false">
      <c r="B103" s="29" t="s">
        <v>120</v>
      </c>
      <c r="C103" s="30"/>
    </row>
    <row r="104" customFormat="false" ht="25.5" hidden="false" customHeight="true" outlineLevel="0" collapsed="false">
      <c r="B104" s="29" t="s">
        <v>121</v>
      </c>
      <c r="C104" s="30"/>
    </row>
    <row r="105" customFormat="false" ht="25.5" hidden="false" customHeight="true" outlineLevel="0" collapsed="false">
      <c r="B105" s="29" t="s">
        <v>96</v>
      </c>
      <c r="C105" s="30"/>
    </row>
    <row r="106" customFormat="false" ht="25.5" hidden="false" customHeight="true" outlineLevel="0" collapsed="false">
      <c r="B106" s="25" t="s">
        <v>97</v>
      </c>
      <c r="C106" s="30"/>
    </row>
    <row r="107" customFormat="false" ht="25.5" hidden="false" customHeight="true" outlineLevel="0" collapsed="false">
      <c r="B107" s="25" t="s">
        <v>98</v>
      </c>
      <c r="C107" s="30"/>
    </row>
    <row r="108" customFormat="false" ht="25.5" hidden="false" customHeight="true" outlineLevel="0" collapsed="false">
      <c r="B108" s="25" t="s">
        <v>99</v>
      </c>
      <c r="C108" s="30"/>
    </row>
    <row r="109" customFormat="false" ht="25.5" hidden="false" customHeight="true" outlineLevel="0" collapsed="false">
      <c r="B109" s="25" t="s">
        <v>122</v>
      </c>
      <c r="C109" s="30"/>
    </row>
    <row r="110" customFormat="false" ht="25.5" hidden="false" customHeight="true" outlineLevel="0" collapsed="false">
      <c r="B110" s="25" t="s">
        <v>101</v>
      </c>
      <c r="C110" s="30"/>
    </row>
    <row r="111" customFormat="false" ht="25.5" hidden="false" customHeight="true" outlineLevel="0" collapsed="false">
      <c r="B111" s="25" t="s">
        <v>102</v>
      </c>
      <c r="C111" s="30"/>
    </row>
    <row r="112" customFormat="false" ht="25.5" hidden="false" customHeight="true" outlineLevel="0" collapsed="false">
      <c r="B112" s="25" t="s">
        <v>103</v>
      </c>
      <c r="C112" s="30"/>
    </row>
    <row r="113" customFormat="false" ht="25.5" hidden="false" customHeight="true" outlineLevel="0" collapsed="false">
      <c r="B113" s="25"/>
      <c r="C113" s="30"/>
    </row>
    <row r="114" customFormat="false" ht="25.5" hidden="false" customHeight="true" outlineLevel="0" collapsed="false">
      <c r="B114" s="20" t="s">
        <v>58</v>
      </c>
      <c r="C114" s="20"/>
    </row>
  </sheetData>
  <mergeCells count="41">
    <mergeCell ref="B1:C1"/>
    <mergeCell ref="B2:C2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3:C24"/>
    <mergeCell ref="B25:C25"/>
    <mergeCell ref="B26:C26"/>
    <mergeCell ref="B39:C39"/>
    <mergeCell ref="B40:C40"/>
    <mergeCell ref="B44:C44"/>
    <mergeCell ref="B45:C45"/>
    <mergeCell ref="B49:C49"/>
    <mergeCell ref="B51:C51"/>
    <mergeCell ref="B52:C52"/>
    <mergeCell ref="B56:C56"/>
    <mergeCell ref="B58:C58"/>
    <mergeCell ref="B59:C59"/>
    <mergeCell ref="C69:C86"/>
    <mergeCell ref="B87:C87"/>
    <mergeCell ref="B89:C89"/>
    <mergeCell ref="B90:C90"/>
    <mergeCell ref="B91:C91"/>
    <mergeCell ref="B92:C92"/>
    <mergeCell ref="C97:C113"/>
    <mergeCell ref="B114:C114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114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9.1484375" defaultRowHeight="12.8" customHeight="false" zeroHeight="false" outlineLevelRow="0" outlineLevelCol="0"/>
  <cols>
    <col collapsed="false" customWidth="true" hidden="false" outlineLevel="0" max="1" min="1" style="31" width="18.29"/>
    <col collapsed="false" customWidth="true" hidden="false" outlineLevel="0" max="2" min="2" style="31" width="50.71"/>
    <col collapsed="false" customWidth="true" hidden="false" outlineLevel="0" max="3" min="3" style="31" width="7.15"/>
    <col collapsed="false" customWidth="true" hidden="false" outlineLevel="0" max="4" min="4" style="31" width="17.15"/>
    <col collapsed="false" customWidth="true" hidden="false" outlineLevel="0" max="5" min="5" style="31" width="5.14"/>
    <col collapsed="false" customWidth="true" hidden="false" outlineLevel="0" max="6" min="6" style="31" width="19.57"/>
    <col collapsed="false" customWidth="true" hidden="false" outlineLevel="0" max="7" min="7" style="31" width="13.15"/>
    <col collapsed="false" customWidth="true" hidden="false" outlineLevel="0" max="8" min="8" style="31" width="11.85"/>
    <col collapsed="false" customWidth="true" hidden="false" outlineLevel="0" max="9" min="9" style="31" width="5.29"/>
    <col collapsed="false" customWidth="true" hidden="false" outlineLevel="0" max="10" min="10" style="31" width="12.15"/>
    <col collapsed="false" customWidth="true" hidden="false" outlineLevel="0" max="11" min="11" style="31" width="8.86"/>
    <col collapsed="false" customWidth="true" hidden="false" outlineLevel="0" max="12" min="12" style="32" width="17.42"/>
    <col collapsed="false" customWidth="true" hidden="false" outlineLevel="0" max="13" min="13" style="32" width="42"/>
    <col collapsed="false" customWidth="true" hidden="false" outlineLevel="0" max="14" min="14" style="32" width="25.71"/>
    <col collapsed="false" customWidth="true" hidden="false" outlineLevel="0" max="15" min="15" style="32" width="26.86"/>
    <col collapsed="false" customWidth="true" hidden="false" outlineLevel="0" max="16" min="16" style="32" width="27.15"/>
    <col collapsed="false" customWidth="true" hidden="false" outlineLevel="0" max="17" min="17" style="32" width="26"/>
    <col collapsed="false" customWidth="false" hidden="false" outlineLevel="0" max="18" min="18" style="32" width="9.14"/>
    <col collapsed="false" customWidth="true" hidden="false" outlineLevel="0" max="19" min="19" style="32" width="15.14"/>
    <col collapsed="false" customWidth="false" hidden="false" outlineLevel="0" max="20" min="20" style="32" width="9.14"/>
    <col collapsed="false" customWidth="true" hidden="false" outlineLevel="0" max="21" min="21" style="32" width="9"/>
    <col collapsed="false" customWidth="false" hidden="false" outlineLevel="0" max="16384" min="22" style="32" width="9.14"/>
  </cols>
  <sheetData>
    <row r="1" s="35" customFormat="true" ht="110.25" hidden="false" customHeight="true" outlineLevel="0" collapsed="false">
      <c r="A1" s="33" t="s">
        <v>123</v>
      </c>
      <c r="B1" s="33" t="s">
        <v>124</v>
      </c>
      <c r="C1" s="33" t="s">
        <v>125</v>
      </c>
      <c r="D1" s="33" t="s">
        <v>126</v>
      </c>
      <c r="E1" s="33" t="s">
        <v>127</v>
      </c>
      <c r="F1" s="33" t="s">
        <v>128</v>
      </c>
      <c r="G1" s="33" t="s">
        <v>129</v>
      </c>
      <c r="H1" s="33" t="s">
        <v>130</v>
      </c>
      <c r="I1" s="33" t="s">
        <v>131</v>
      </c>
      <c r="J1" s="33" t="s">
        <v>132</v>
      </c>
      <c r="K1" s="33" t="s">
        <v>133</v>
      </c>
      <c r="L1" s="34" t="s">
        <v>134</v>
      </c>
      <c r="M1" s="34" t="s">
        <v>135</v>
      </c>
      <c r="N1" s="34" t="s">
        <v>136</v>
      </c>
      <c r="O1" s="34" t="s">
        <v>137</v>
      </c>
      <c r="P1" s="34" t="s">
        <v>138</v>
      </c>
      <c r="Q1" s="34" t="s">
        <v>139</v>
      </c>
      <c r="XEY1" s="36"/>
      <c r="XEZ1" s="36"/>
      <c r="XFA1" s="36"/>
      <c r="XFB1" s="36"/>
      <c r="XFC1" s="36"/>
      <c r="XFD1" s="36"/>
    </row>
    <row r="2" s="40" customFormat="true" ht="15" hidden="false" customHeight="false" outlineLevel="0" collapsed="false">
      <c r="A2" s="37" t="n">
        <v>10816689000180</v>
      </c>
      <c r="B2" s="38" t="s">
        <v>140</v>
      </c>
      <c r="C2" s="39" t="s">
        <v>141</v>
      </c>
      <c r="D2" s="39" t="s">
        <v>142</v>
      </c>
      <c r="E2" s="39" t="s">
        <v>143</v>
      </c>
      <c r="F2" s="39" t="s">
        <v>144</v>
      </c>
      <c r="G2" s="39" t="s">
        <v>145</v>
      </c>
      <c r="H2" s="39" t="s">
        <v>146</v>
      </c>
      <c r="I2" s="39" t="s">
        <v>147</v>
      </c>
      <c r="J2" s="39" t="s">
        <v>148</v>
      </c>
      <c r="K2" s="39" t="s">
        <v>149</v>
      </c>
      <c r="L2" s="40" t="s">
        <v>150</v>
      </c>
      <c r="M2" s="38" t="s">
        <v>140</v>
      </c>
      <c r="N2" s="41" t="s">
        <v>151</v>
      </c>
      <c r="O2" s="41" t="s">
        <v>151</v>
      </c>
      <c r="P2" s="41" t="s">
        <v>151</v>
      </c>
      <c r="Q2" s="41" t="s">
        <v>151</v>
      </c>
    </row>
    <row r="3" s="40" customFormat="true" ht="15" hidden="false" customHeight="false" outlineLevel="0" collapsed="false">
      <c r="A3" s="37" t="n">
        <v>23932966000162</v>
      </c>
      <c r="B3" s="38" t="s">
        <v>152</v>
      </c>
      <c r="C3" s="39" t="s">
        <v>141</v>
      </c>
      <c r="D3" s="39" t="s">
        <v>142</v>
      </c>
      <c r="E3" s="39" t="s">
        <v>143</v>
      </c>
      <c r="F3" s="39" t="s">
        <v>144</v>
      </c>
      <c r="G3" s="39" t="s">
        <v>145</v>
      </c>
      <c r="H3" s="39" t="s">
        <v>146</v>
      </c>
      <c r="I3" s="39" t="s">
        <v>147</v>
      </c>
      <c r="J3" s="39" t="s">
        <v>148</v>
      </c>
      <c r="K3" s="39" t="s">
        <v>149</v>
      </c>
      <c r="L3" s="40" t="s">
        <v>150</v>
      </c>
      <c r="M3" s="38" t="s">
        <v>152</v>
      </c>
      <c r="N3" s="41" t="s">
        <v>151</v>
      </c>
      <c r="O3" s="41" t="s">
        <v>151</v>
      </c>
      <c r="P3" s="41" t="s">
        <v>151</v>
      </c>
      <c r="Q3" s="41" t="s">
        <v>151</v>
      </c>
    </row>
    <row r="4" s="40" customFormat="true" ht="15" hidden="false" customHeight="false" outlineLevel="0" collapsed="false">
      <c r="A4" s="37" t="n">
        <v>54090912000120</v>
      </c>
      <c r="B4" s="42" t="s">
        <v>153</v>
      </c>
      <c r="C4" s="39" t="s">
        <v>141</v>
      </c>
      <c r="D4" s="39" t="s">
        <v>142</v>
      </c>
      <c r="E4" s="39" t="s">
        <v>143</v>
      </c>
      <c r="F4" s="39" t="s">
        <v>144</v>
      </c>
      <c r="G4" s="39" t="s">
        <v>145</v>
      </c>
      <c r="H4" s="39" t="s">
        <v>146</v>
      </c>
      <c r="I4" s="39" t="s">
        <v>147</v>
      </c>
      <c r="J4" s="39" t="s">
        <v>148</v>
      </c>
      <c r="K4" s="39" t="s">
        <v>149</v>
      </c>
      <c r="L4" s="40" t="s">
        <v>150</v>
      </c>
      <c r="M4" s="42" t="s">
        <v>153</v>
      </c>
      <c r="N4" s="41" t="s">
        <v>151</v>
      </c>
      <c r="O4" s="41" t="s">
        <v>151</v>
      </c>
      <c r="P4" s="41" t="s">
        <v>151</v>
      </c>
      <c r="Q4" s="41" t="s">
        <v>151</v>
      </c>
    </row>
    <row r="5" s="40" customFormat="true" ht="15" hidden="false" customHeight="false" outlineLevel="0" collapsed="false">
      <c r="A5" s="37" t="n">
        <v>54343553000176</v>
      </c>
      <c r="B5" s="42" t="s">
        <v>154</v>
      </c>
      <c r="C5" s="39" t="s">
        <v>141</v>
      </c>
      <c r="D5" s="39" t="s">
        <v>142</v>
      </c>
      <c r="E5" s="39" t="s">
        <v>143</v>
      </c>
      <c r="F5" s="39" t="s">
        <v>144</v>
      </c>
      <c r="G5" s="39" t="s">
        <v>145</v>
      </c>
      <c r="H5" s="39" t="s">
        <v>146</v>
      </c>
      <c r="I5" s="39" t="s">
        <v>147</v>
      </c>
      <c r="J5" s="39" t="s">
        <v>148</v>
      </c>
      <c r="K5" s="39" t="s">
        <v>149</v>
      </c>
      <c r="L5" s="40" t="s">
        <v>150</v>
      </c>
      <c r="M5" s="42" t="s">
        <v>154</v>
      </c>
      <c r="N5" s="41" t="s">
        <v>151</v>
      </c>
      <c r="O5" s="41" t="s">
        <v>151</v>
      </c>
      <c r="P5" s="41" t="s">
        <v>151</v>
      </c>
      <c r="Q5" s="41" t="s">
        <v>151</v>
      </c>
    </row>
    <row r="6" s="40" customFormat="true" ht="15" hidden="false" customHeight="false" outlineLevel="0" collapsed="false">
      <c r="A6" s="37" t="n">
        <v>54347562000135</v>
      </c>
      <c r="B6" s="38" t="s">
        <v>155</v>
      </c>
      <c r="C6" s="39" t="s">
        <v>141</v>
      </c>
      <c r="D6" s="39" t="s">
        <v>142</v>
      </c>
      <c r="E6" s="39" t="s">
        <v>143</v>
      </c>
      <c r="F6" s="39" t="s">
        <v>144</v>
      </c>
      <c r="G6" s="39" t="s">
        <v>145</v>
      </c>
      <c r="H6" s="39" t="s">
        <v>146</v>
      </c>
      <c r="I6" s="39" t="s">
        <v>147</v>
      </c>
      <c r="J6" s="39" t="s">
        <v>148</v>
      </c>
      <c r="K6" s="39" t="s">
        <v>149</v>
      </c>
      <c r="L6" s="40" t="s">
        <v>150</v>
      </c>
      <c r="M6" s="38" t="s">
        <v>155</v>
      </c>
      <c r="N6" s="41" t="s">
        <v>151</v>
      </c>
      <c r="O6" s="41" t="s">
        <v>151</v>
      </c>
      <c r="P6" s="41" t="s">
        <v>151</v>
      </c>
      <c r="Q6" s="41" t="s">
        <v>151</v>
      </c>
    </row>
    <row r="7" s="40" customFormat="true" ht="15" hidden="false" customHeight="false" outlineLevel="0" collapsed="false">
      <c r="A7" s="37" t="n">
        <v>54350889000166</v>
      </c>
      <c r="B7" s="38" t="s">
        <v>156</v>
      </c>
      <c r="C7" s="39" t="s">
        <v>141</v>
      </c>
      <c r="D7" s="39" t="s">
        <v>142</v>
      </c>
      <c r="E7" s="39" t="s">
        <v>143</v>
      </c>
      <c r="F7" s="39" t="s">
        <v>144</v>
      </c>
      <c r="G7" s="39" t="s">
        <v>145</v>
      </c>
      <c r="H7" s="39" t="s">
        <v>146</v>
      </c>
      <c r="I7" s="39" t="s">
        <v>147</v>
      </c>
      <c r="J7" s="39" t="s">
        <v>148</v>
      </c>
      <c r="K7" s="39" t="s">
        <v>149</v>
      </c>
      <c r="L7" s="40" t="s">
        <v>150</v>
      </c>
      <c r="M7" s="38" t="s">
        <v>156</v>
      </c>
      <c r="N7" s="41" t="s">
        <v>151</v>
      </c>
      <c r="O7" s="41" t="s">
        <v>151</v>
      </c>
      <c r="P7" s="41" t="s">
        <v>151</v>
      </c>
      <c r="Q7" s="41" t="s">
        <v>151</v>
      </c>
    </row>
    <row r="8" s="40" customFormat="true" ht="15" hidden="false" customHeight="false" outlineLevel="0" collapsed="false">
      <c r="A8" s="37" t="n">
        <v>62302716000109</v>
      </c>
      <c r="B8" s="38" t="s">
        <v>157</v>
      </c>
      <c r="C8" s="39" t="s">
        <v>141</v>
      </c>
      <c r="D8" s="39" t="s">
        <v>142</v>
      </c>
      <c r="E8" s="39" t="s">
        <v>143</v>
      </c>
      <c r="F8" s="39" t="s">
        <v>144</v>
      </c>
      <c r="G8" s="39" t="s">
        <v>145</v>
      </c>
      <c r="H8" s="39" t="s">
        <v>146</v>
      </c>
      <c r="I8" s="39" t="s">
        <v>147</v>
      </c>
      <c r="J8" s="39" t="s">
        <v>148</v>
      </c>
      <c r="K8" s="39" t="s">
        <v>149</v>
      </c>
      <c r="L8" s="40" t="s">
        <v>150</v>
      </c>
      <c r="M8" s="38" t="s">
        <v>157</v>
      </c>
      <c r="N8" s="41" t="s">
        <v>151</v>
      </c>
      <c r="O8" s="41" t="s">
        <v>151</v>
      </c>
      <c r="P8" s="41" t="s">
        <v>151</v>
      </c>
      <c r="Q8" s="41" t="s">
        <v>151</v>
      </c>
    </row>
    <row r="9" s="40" customFormat="true" ht="15" hidden="false" customHeight="false" outlineLevel="0" collapsed="false">
      <c r="A9" s="37" t="n">
        <v>67651877000113</v>
      </c>
      <c r="B9" s="38" t="s">
        <v>158</v>
      </c>
      <c r="C9" s="39" t="s">
        <v>141</v>
      </c>
      <c r="D9" s="39" t="s">
        <v>142</v>
      </c>
      <c r="E9" s="39" t="s">
        <v>143</v>
      </c>
      <c r="F9" s="39" t="s">
        <v>144</v>
      </c>
      <c r="G9" s="39" t="s">
        <v>145</v>
      </c>
      <c r="H9" s="39" t="s">
        <v>146</v>
      </c>
      <c r="I9" s="39" t="s">
        <v>147</v>
      </c>
      <c r="J9" s="39" t="s">
        <v>148</v>
      </c>
      <c r="K9" s="39" t="s">
        <v>149</v>
      </c>
      <c r="L9" s="40" t="s">
        <v>150</v>
      </c>
      <c r="M9" s="38" t="s">
        <v>158</v>
      </c>
      <c r="N9" s="41" t="s">
        <v>151</v>
      </c>
      <c r="O9" s="41" t="s">
        <v>151</v>
      </c>
      <c r="P9" s="41" t="s">
        <v>151</v>
      </c>
      <c r="Q9" s="41" t="s">
        <v>151</v>
      </c>
    </row>
    <row r="10" s="40" customFormat="true" ht="15" hidden="false" customHeight="false" outlineLevel="0" collapsed="false">
      <c r="A10" s="37" t="n">
        <v>71552947000153</v>
      </c>
      <c r="B10" s="38" t="s">
        <v>159</v>
      </c>
      <c r="C10" s="39" t="s">
        <v>141</v>
      </c>
      <c r="D10" s="39" t="s">
        <v>142</v>
      </c>
      <c r="E10" s="39" t="s">
        <v>143</v>
      </c>
      <c r="F10" s="39" t="s">
        <v>144</v>
      </c>
      <c r="G10" s="39" t="s">
        <v>145</v>
      </c>
      <c r="H10" s="39" t="s">
        <v>146</v>
      </c>
      <c r="I10" s="39" t="s">
        <v>147</v>
      </c>
      <c r="J10" s="39" t="s">
        <v>148</v>
      </c>
      <c r="K10" s="39" t="s">
        <v>149</v>
      </c>
      <c r="L10" s="40" t="s">
        <v>150</v>
      </c>
      <c r="M10" s="38" t="s">
        <v>159</v>
      </c>
      <c r="N10" s="41" t="s">
        <v>151</v>
      </c>
      <c r="O10" s="41" t="s">
        <v>151</v>
      </c>
      <c r="P10" s="41" t="s">
        <v>151</v>
      </c>
      <c r="Q10" s="41" t="s">
        <v>151</v>
      </c>
    </row>
    <row r="11" s="40" customFormat="true" ht="15" hidden="false" customHeight="false" outlineLevel="0" collapsed="false">
      <c r="A11" s="37" t="s">
        <v>160</v>
      </c>
      <c r="B11" s="38" t="s">
        <v>161</v>
      </c>
      <c r="C11" s="39" t="s">
        <v>141</v>
      </c>
      <c r="D11" s="39" t="s">
        <v>142</v>
      </c>
      <c r="E11" s="39" t="s">
        <v>143</v>
      </c>
      <c r="F11" s="39" t="s">
        <v>144</v>
      </c>
      <c r="G11" s="39" t="s">
        <v>145</v>
      </c>
      <c r="H11" s="39" t="s">
        <v>146</v>
      </c>
      <c r="I11" s="39" t="s">
        <v>147</v>
      </c>
      <c r="J11" s="39" t="s">
        <v>148</v>
      </c>
      <c r="K11" s="39" t="s">
        <v>149</v>
      </c>
      <c r="L11" s="40" t="s">
        <v>150</v>
      </c>
      <c r="M11" s="38" t="s">
        <v>161</v>
      </c>
      <c r="N11" s="41" t="s">
        <v>151</v>
      </c>
      <c r="O11" s="41" t="s">
        <v>151</v>
      </c>
      <c r="P11" s="41" t="s">
        <v>151</v>
      </c>
      <c r="Q11" s="41" t="s">
        <v>151</v>
      </c>
    </row>
    <row r="12" s="40" customFormat="true" ht="15" hidden="false" customHeight="false" outlineLevel="0" collapsed="false">
      <c r="A12" s="42" t="s">
        <v>162</v>
      </c>
      <c r="B12" s="38" t="s">
        <v>163</v>
      </c>
      <c r="C12" s="39" t="s">
        <v>141</v>
      </c>
      <c r="D12" s="39" t="s">
        <v>142</v>
      </c>
      <c r="E12" s="39" t="s">
        <v>143</v>
      </c>
      <c r="F12" s="39" t="s">
        <v>144</v>
      </c>
      <c r="G12" s="39" t="s">
        <v>145</v>
      </c>
      <c r="H12" s="39" t="s">
        <v>146</v>
      </c>
      <c r="I12" s="39" t="s">
        <v>147</v>
      </c>
      <c r="J12" s="39" t="s">
        <v>148</v>
      </c>
      <c r="K12" s="39" t="s">
        <v>149</v>
      </c>
      <c r="L12" s="40" t="s">
        <v>150</v>
      </c>
      <c r="M12" s="38" t="s">
        <v>163</v>
      </c>
      <c r="N12" s="41" t="s">
        <v>151</v>
      </c>
      <c r="O12" s="41" t="s">
        <v>151</v>
      </c>
      <c r="P12" s="41" t="s">
        <v>151</v>
      </c>
      <c r="Q12" s="41" t="s">
        <v>151</v>
      </c>
    </row>
    <row r="13" s="40" customFormat="true" ht="15" hidden="false" customHeight="false" outlineLevel="0" collapsed="false">
      <c r="A13" s="37" t="s">
        <v>164</v>
      </c>
      <c r="B13" s="38" t="s">
        <v>165</v>
      </c>
      <c r="C13" s="39" t="s">
        <v>141</v>
      </c>
      <c r="D13" s="39" t="s">
        <v>142</v>
      </c>
      <c r="E13" s="39" t="s">
        <v>143</v>
      </c>
      <c r="F13" s="39" t="s">
        <v>144</v>
      </c>
      <c r="G13" s="39" t="s">
        <v>145</v>
      </c>
      <c r="H13" s="39" t="s">
        <v>146</v>
      </c>
      <c r="I13" s="39" t="s">
        <v>147</v>
      </c>
      <c r="J13" s="39" t="s">
        <v>148</v>
      </c>
      <c r="K13" s="39" t="s">
        <v>149</v>
      </c>
      <c r="L13" s="40" t="s">
        <v>150</v>
      </c>
      <c r="M13" s="38" t="s">
        <v>165</v>
      </c>
      <c r="N13" s="41" t="s">
        <v>151</v>
      </c>
      <c r="O13" s="41" t="s">
        <v>151</v>
      </c>
      <c r="P13" s="41" t="s">
        <v>151</v>
      </c>
      <c r="Q13" s="41" t="s">
        <v>151</v>
      </c>
    </row>
    <row r="14" s="40" customFormat="true" ht="15" hidden="false" customHeight="false" outlineLevel="0" collapsed="false">
      <c r="A14" s="37" t="s">
        <v>166</v>
      </c>
      <c r="B14" s="38" t="s">
        <v>167</v>
      </c>
      <c r="C14" s="39" t="s">
        <v>141</v>
      </c>
      <c r="D14" s="39" t="s">
        <v>142</v>
      </c>
      <c r="E14" s="39" t="s">
        <v>143</v>
      </c>
      <c r="F14" s="39" t="s">
        <v>144</v>
      </c>
      <c r="G14" s="39" t="s">
        <v>145</v>
      </c>
      <c r="H14" s="39" t="s">
        <v>146</v>
      </c>
      <c r="I14" s="39" t="s">
        <v>147</v>
      </c>
      <c r="J14" s="39" t="s">
        <v>148</v>
      </c>
      <c r="K14" s="39" t="s">
        <v>149</v>
      </c>
      <c r="L14" s="40" t="s">
        <v>150</v>
      </c>
      <c r="M14" s="38" t="s">
        <v>167</v>
      </c>
      <c r="N14" s="41" t="s">
        <v>151</v>
      </c>
      <c r="O14" s="41" t="s">
        <v>151</v>
      </c>
      <c r="P14" s="41" t="s">
        <v>151</v>
      </c>
      <c r="Q14" s="41" t="s">
        <v>151</v>
      </c>
    </row>
    <row r="15" s="40" customFormat="true" ht="15" hidden="false" customHeight="false" outlineLevel="0" collapsed="false">
      <c r="A15" s="37" t="s">
        <v>168</v>
      </c>
      <c r="B15" s="38" t="s">
        <v>169</v>
      </c>
      <c r="C15" s="39" t="s">
        <v>141</v>
      </c>
      <c r="D15" s="39" t="s">
        <v>142</v>
      </c>
      <c r="E15" s="39" t="s">
        <v>143</v>
      </c>
      <c r="F15" s="39" t="s">
        <v>144</v>
      </c>
      <c r="G15" s="39" t="s">
        <v>145</v>
      </c>
      <c r="H15" s="39" t="s">
        <v>146</v>
      </c>
      <c r="I15" s="39" t="s">
        <v>147</v>
      </c>
      <c r="J15" s="39" t="s">
        <v>148</v>
      </c>
      <c r="K15" s="39" t="s">
        <v>149</v>
      </c>
      <c r="L15" s="40" t="s">
        <v>150</v>
      </c>
      <c r="M15" s="38" t="s">
        <v>169</v>
      </c>
      <c r="N15" s="41" t="s">
        <v>151</v>
      </c>
      <c r="O15" s="41" t="s">
        <v>151</v>
      </c>
      <c r="P15" s="41" t="s">
        <v>151</v>
      </c>
      <c r="Q15" s="41" t="s">
        <v>151</v>
      </c>
    </row>
    <row r="16" s="40" customFormat="true" ht="15" hidden="false" customHeight="false" outlineLevel="0" collapsed="false">
      <c r="A16" s="37" t="s">
        <v>170</v>
      </c>
      <c r="B16" s="38" t="s">
        <v>171</v>
      </c>
      <c r="C16" s="39" t="s">
        <v>141</v>
      </c>
      <c r="D16" s="39" t="s">
        <v>142</v>
      </c>
      <c r="E16" s="39" t="s">
        <v>143</v>
      </c>
      <c r="F16" s="39" t="s">
        <v>144</v>
      </c>
      <c r="G16" s="39" t="s">
        <v>145</v>
      </c>
      <c r="H16" s="39" t="s">
        <v>146</v>
      </c>
      <c r="I16" s="39" t="s">
        <v>147</v>
      </c>
      <c r="J16" s="39" t="s">
        <v>148</v>
      </c>
      <c r="K16" s="39" t="s">
        <v>149</v>
      </c>
      <c r="L16" s="40" t="s">
        <v>150</v>
      </c>
      <c r="M16" s="38" t="s">
        <v>171</v>
      </c>
      <c r="N16" s="41" t="s">
        <v>151</v>
      </c>
      <c r="O16" s="41" t="s">
        <v>151</v>
      </c>
      <c r="P16" s="41" t="s">
        <v>151</v>
      </c>
      <c r="Q16" s="41" t="s">
        <v>151</v>
      </c>
    </row>
    <row r="17" s="40" customFormat="true" ht="15" hidden="false" customHeight="false" outlineLevel="0" collapsed="false">
      <c r="A17" s="37" t="s">
        <v>172</v>
      </c>
      <c r="B17" s="38" t="s">
        <v>173</v>
      </c>
      <c r="C17" s="39" t="s">
        <v>141</v>
      </c>
      <c r="D17" s="39" t="s">
        <v>142</v>
      </c>
      <c r="E17" s="39" t="s">
        <v>143</v>
      </c>
      <c r="F17" s="39" t="s">
        <v>144</v>
      </c>
      <c r="G17" s="39" t="s">
        <v>145</v>
      </c>
      <c r="H17" s="39" t="s">
        <v>146</v>
      </c>
      <c r="I17" s="39" t="s">
        <v>147</v>
      </c>
      <c r="J17" s="39" t="s">
        <v>148</v>
      </c>
      <c r="K17" s="39" t="s">
        <v>149</v>
      </c>
      <c r="L17" s="40" t="s">
        <v>150</v>
      </c>
      <c r="M17" s="38" t="s">
        <v>173</v>
      </c>
      <c r="N17" s="41" t="s">
        <v>151</v>
      </c>
      <c r="O17" s="41" t="s">
        <v>151</v>
      </c>
      <c r="P17" s="41" t="s">
        <v>151</v>
      </c>
      <c r="Q17" s="41" t="s">
        <v>151</v>
      </c>
    </row>
    <row r="18" s="40" customFormat="true" ht="15" hidden="false" customHeight="false" outlineLevel="0" collapsed="false">
      <c r="A18" s="37" t="s">
        <v>174</v>
      </c>
      <c r="B18" s="38" t="s">
        <v>175</v>
      </c>
      <c r="C18" s="39" t="s">
        <v>141</v>
      </c>
      <c r="D18" s="39" t="s">
        <v>142</v>
      </c>
      <c r="E18" s="39" t="s">
        <v>143</v>
      </c>
      <c r="F18" s="39" t="s">
        <v>144</v>
      </c>
      <c r="G18" s="39" t="s">
        <v>145</v>
      </c>
      <c r="H18" s="39" t="s">
        <v>146</v>
      </c>
      <c r="I18" s="39" t="s">
        <v>147</v>
      </c>
      <c r="J18" s="39" t="s">
        <v>148</v>
      </c>
      <c r="K18" s="39" t="s">
        <v>149</v>
      </c>
      <c r="L18" s="40" t="s">
        <v>150</v>
      </c>
      <c r="M18" s="38" t="s">
        <v>175</v>
      </c>
      <c r="N18" s="41" t="s">
        <v>151</v>
      </c>
      <c r="O18" s="41" t="s">
        <v>151</v>
      </c>
      <c r="P18" s="41" t="s">
        <v>151</v>
      </c>
      <c r="Q18" s="41" t="s">
        <v>151</v>
      </c>
    </row>
    <row r="19" s="40" customFormat="true" ht="15" hidden="false" customHeight="false" outlineLevel="0" collapsed="false">
      <c r="A19" s="37" t="s">
        <v>176</v>
      </c>
      <c r="B19" s="38" t="s">
        <v>177</v>
      </c>
      <c r="C19" s="39" t="s">
        <v>141</v>
      </c>
      <c r="D19" s="39" t="s">
        <v>142</v>
      </c>
      <c r="E19" s="39" t="s">
        <v>143</v>
      </c>
      <c r="F19" s="39" t="s">
        <v>144</v>
      </c>
      <c r="G19" s="39" t="s">
        <v>145</v>
      </c>
      <c r="H19" s="39" t="s">
        <v>146</v>
      </c>
      <c r="I19" s="39" t="s">
        <v>147</v>
      </c>
      <c r="J19" s="39" t="s">
        <v>148</v>
      </c>
      <c r="K19" s="39" t="s">
        <v>149</v>
      </c>
      <c r="L19" s="40" t="s">
        <v>150</v>
      </c>
      <c r="M19" s="38" t="s">
        <v>177</v>
      </c>
      <c r="N19" s="41" t="s">
        <v>151</v>
      </c>
      <c r="O19" s="41" t="s">
        <v>151</v>
      </c>
      <c r="P19" s="41" t="s">
        <v>151</v>
      </c>
      <c r="Q19" s="41" t="s">
        <v>151</v>
      </c>
    </row>
    <row r="20" s="40" customFormat="true" ht="15" hidden="false" customHeight="false" outlineLevel="0" collapsed="false">
      <c r="A20" s="43" t="s">
        <v>178</v>
      </c>
      <c r="B20" s="43" t="s">
        <v>179</v>
      </c>
      <c r="C20" s="39" t="s">
        <v>141</v>
      </c>
      <c r="D20" s="39" t="s">
        <v>142</v>
      </c>
      <c r="E20" s="39" t="s">
        <v>143</v>
      </c>
      <c r="F20" s="39" t="s">
        <v>144</v>
      </c>
      <c r="G20" s="39" t="s">
        <v>145</v>
      </c>
      <c r="H20" s="39" t="s">
        <v>146</v>
      </c>
      <c r="I20" s="39" t="s">
        <v>147</v>
      </c>
      <c r="J20" s="39" t="s">
        <v>148</v>
      </c>
      <c r="K20" s="39" t="s">
        <v>149</v>
      </c>
      <c r="L20" s="40" t="s">
        <v>150</v>
      </c>
      <c r="M20" s="43" t="s">
        <v>179</v>
      </c>
      <c r="N20" s="41" t="s">
        <v>151</v>
      </c>
      <c r="O20" s="41" t="s">
        <v>151</v>
      </c>
      <c r="P20" s="41" t="s">
        <v>151</v>
      </c>
      <c r="Q20" s="41" t="s">
        <v>151</v>
      </c>
    </row>
    <row r="21" s="40" customFormat="true" ht="15" hidden="false" customHeight="false" outlineLevel="0" collapsed="false">
      <c r="A21" s="37" t="s">
        <v>180</v>
      </c>
      <c r="B21" s="38" t="s">
        <v>181</v>
      </c>
      <c r="C21" s="39" t="s">
        <v>141</v>
      </c>
      <c r="D21" s="39" t="s">
        <v>142</v>
      </c>
      <c r="E21" s="39" t="s">
        <v>143</v>
      </c>
      <c r="F21" s="39" t="s">
        <v>144</v>
      </c>
      <c r="G21" s="39" t="s">
        <v>145</v>
      </c>
      <c r="H21" s="39" t="s">
        <v>146</v>
      </c>
      <c r="I21" s="39" t="s">
        <v>147</v>
      </c>
      <c r="J21" s="39" t="s">
        <v>148</v>
      </c>
      <c r="K21" s="39" t="s">
        <v>149</v>
      </c>
      <c r="L21" s="40" t="s">
        <v>150</v>
      </c>
      <c r="M21" s="38" t="s">
        <v>181</v>
      </c>
      <c r="N21" s="41" t="s">
        <v>151</v>
      </c>
      <c r="O21" s="41" t="s">
        <v>151</v>
      </c>
      <c r="P21" s="41" t="s">
        <v>151</v>
      </c>
      <c r="Q21" s="41" t="s">
        <v>151</v>
      </c>
    </row>
    <row r="22" s="40" customFormat="true" ht="15" hidden="false" customHeight="false" outlineLevel="0" collapsed="false">
      <c r="A22" s="37" t="s">
        <v>182</v>
      </c>
      <c r="B22" s="38" t="s">
        <v>183</v>
      </c>
      <c r="C22" s="39" t="s">
        <v>141</v>
      </c>
      <c r="D22" s="39" t="s">
        <v>142</v>
      </c>
      <c r="E22" s="39" t="s">
        <v>143</v>
      </c>
      <c r="F22" s="39" t="s">
        <v>144</v>
      </c>
      <c r="G22" s="39" t="s">
        <v>145</v>
      </c>
      <c r="H22" s="39" t="s">
        <v>146</v>
      </c>
      <c r="I22" s="39" t="s">
        <v>147</v>
      </c>
      <c r="J22" s="39" t="s">
        <v>148</v>
      </c>
      <c r="K22" s="39" t="s">
        <v>149</v>
      </c>
      <c r="L22" s="40" t="s">
        <v>150</v>
      </c>
      <c r="M22" s="38" t="s">
        <v>183</v>
      </c>
      <c r="N22" s="41" t="s">
        <v>151</v>
      </c>
      <c r="O22" s="41" t="s">
        <v>151</v>
      </c>
      <c r="P22" s="41" t="s">
        <v>151</v>
      </c>
      <c r="Q22" s="41" t="s">
        <v>151</v>
      </c>
    </row>
    <row r="23" s="40" customFormat="true" ht="15" hidden="false" customHeight="false" outlineLevel="0" collapsed="false">
      <c r="A23" s="37" t="s">
        <v>184</v>
      </c>
      <c r="B23" s="38" t="s">
        <v>185</v>
      </c>
      <c r="C23" s="39" t="s">
        <v>141</v>
      </c>
      <c r="D23" s="39" t="s">
        <v>142</v>
      </c>
      <c r="E23" s="39" t="s">
        <v>143</v>
      </c>
      <c r="F23" s="39" t="s">
        <v>144</v>
      </c>
      <c r="G23" s="39" t="s">
        <v>145</v>
      </c>
      <c r="H23" s="39" t="s">
        <v>146</v>
      </c>
      <c r="I23" s="39" t="s">
        <v>147</v>
      </c>
      <c r="J23" s="39" t="s">
        <v>148</v>
      </c>
      <c r="K23" s="39" t="s">
        <v>149</v>
      </c>
      <c r="L23" s="40" t="s">
        <v>150</v>
      </c>
      <c r="M23" s="38" t="s">
        <v>185</v>
      </c>
      <c r="N23" s="41" t="s">
        <v>151</v>
      </c>
      <c r="O23" s="41" t="s">
        <v>151</v>
      </c>
      <c r="P23" s="41" t="s">
        <v>151</v>
      </c>
      <c r="Q23" s="41" t="s">
        <v>151</v>
      </c>
    </row>
    <row r="24" s="40" customFormat="true" ht="15" hidden="false" customHeight="false" outlineLevel="0" collapsed="false">
      <c r="A24" s="37" t="s">
        <v>186</v>
      </c>
      <c r="B24" s="38" t="s">
        <v>187</v>
      </c>
      <c r="C24" s="39" t="s">
        <v>141</v>
      </c>
      <c r="D24" s="39" t="s">
        <v>142</v>
      </c>
      <c r="E24" s="39" t="s">
        <v>143</v>
      </c>
      <c r="F24" s="39" t="s">
        <v>144</v>
      </c>
      <c r="G24" s="39" t="s">
        <v>145</v>
      </c>
      <c r="H24" s="39" t="s">
        <v>146</v>
      </c>
      <c r="I24" s="39" t="s">
        <v>147</v>
      </c>
      <c r="J24" s="39" t="s">
        <v>148</v>
      </c>
      <c r="K24" s="39" t="s">
        <v>149</v>
      </c>
      <c r="L24" s="40" t="s">
        <v>150</v>
      </c>
      <c r="M24" s="38" t="s">
        <v>187</v>
      </c>
      <c r="N24" s="41" t="s">
        <v>151</v>
      </c>
      <c r="O24" s="41" t="s">
        <v>151</v>
      </c>
      <c r="P24" s="41" t="s">
        <v>151</v>
      </c>
      <c r="Q24" s="41" t="s">
        <v>151</v>
      </c>
    </row>
    <row r="25" s="40" customFormat="true" ht="15" hidden="false" customHeight="false" outlineLevel="0" collapsed="false">
      <c r="A25" s="37" t="s">
        <v>188</v>
      </c>
      <c r="B25" s="38" t="s">
        <v>189</v>
      </c>
      <c r="C25" s="39" t="s">
        <v>141</v>
      </c>
      <c r="D25" s="39" t="s">
        <v>142</v>
      </c>
      <c r="E25" s="39" t="s">
        <v>143</v>
      </c>
      <c r="F25" s="39" t="s">
        <v>144</v>
      </c>
      <c r="G25" s="39" t="s">
        <v>145</v>
      </c>
      <c r="H25" s="39" t="s">
        <v>146</v>
      </c>
      <c r="I25" s="39" t="s">
        <v>147</v>
      </c>
      <c r="J25" s="39" t="s">
        <v>148</v>
      </c>
      <c r="K25" s="39" t="s">
        <v>149</v>
      </c>
      <c r="L25" s="40" t="s">
        <v>150</v>
      </c>
      <c r="M25" s="38" t="s">
        <v>189</v>
      </c>
      <c r="N25" s="41" t="s">
        <v>151</v>
      </c>
      <c r="O25" s="41" t="s">
        <v>151</v>
      </c>
      <c r="P25" s="41" t="s">
        <v>151</v>
      </c>
      <c r="Q25" s="41" t="s">
        <v>151</v>
      </c>
    </row>
    <row r="26" s="40" customFormat="true" ht="15" hidden="false" customHeight="false" outlineLevel="0" collapsed="false">
      <c r="A26" s="37" t="s">
        <v>190</v>
      </c>
      <c r="B26" s="38" t="s">
        <v>191</v>
      </c>
      <c r="C26" s="39" t="s">
        <v>141</v>
      </c>
      <c r="D26" s="39" t="s">
        <v>142</v>
      </c>
      <c r="E26" s="39" t="s">
        <v>143</v>
      </c>
      <c r="F26" s="39" t="s">
        <v>144</v>
      </c>
      <c r="G26" s="39" t="s">
        <v>145</v>
      </c>
      <c r="H26" s="39" t="s">
        <v>146</v>
      </c>
      <c r="I26" s="39" t="s">
        <v>147</v>
      </c>
      <c r="J26" s="39" t="s">
        <v>148</v>
      </c>
      <c r="K26" s="39" t="s">
        <v>149</v>
      </c>
      <c r="L26" s="40" t="s">
        <v>150</v>
      </c>
      <c r="M26" s="38" t="s">
        <v>191</v>
      </c>
      <c r="N26" s="41" t="s">
        <v>151</v>
      </c>
      <c r="O26" s="41" t="s">
        <v>151</v>
      </c>
      <c r="P26" s="41" t="s">
        <v>151</v>
      </c>
      <c r="Q26" s="41" t="s">
        <v>151</v>
      </c>
    </row>
    <row r="27" s="40" customFormat="true" ht="15" hidden="false" customHeight="false" outlineLevel="0" collapsed="false">
      <c r="A27" s="37" t="s">
        <v>192</v>
      </c>
      <c r="B27" s="38" t="s">
        <v>193</v>
      </c>
      <c r="C27" s="39" t="s">
        <v>141</v>
      </c>
      <c r="D27" s="39" t="s">
        <v>142</v>
      </c>
      <c r="E27" s="39" t="s">
        <v>143</v>
      </c>
      <c r="F27" s="39" t="s">
        <v>144</v>
      </c>
      <c r="G27" s="39" t="s">
        <v>145</v>
      </c>
      <c r="H27" s="39" t="s">
        <v>146</v>
      </c>
      <c r="I27" s="39" t="s">
        <v>147</v>
      </c>
      <c r="J27" s="39" t="s">
        <v>148</v>
      </c>
      <c r="K27" s="39" t="s">
        <v>149</v>
      </c>
      <c r="L27" s="40" t="s">
        <v>150</v>
      </c>
      <c r="M27" s="38" t="s">
        <v>193</v>
      </c>
      <c r="N27" s="41" t="s">
        <v>151</v>
      </c>
      <c r="O27" s="41" t="s">
        <v>151</v>
      </c>
      <c r="P27" s="41" t="s">
        <v>151</v>
      </c>
      <c r="Q27" s="41" t="s">
        <v>151</v>
      </c>
    </row>
    <row r="28" s="40" customFormat="true" ht="15" hidden="false" customHeight="false" outlineLevel="0" collapsed="false">
      <c r="A28" s="37" t="s">
        <v>194</v>
      </c>
      <c r="B28" s="38" t="s">
        <v>195</v>
      </c>
      <c r="C28" s="39" t="s">
        <v>141</v>
      </c>
      <c r="D28" s="39" t="s">
        <v>142</v>
      </c>
      <c r="E28" s="39" t="s">
        <v>143</v>
      </c>
      <c r="F28" s="39" t="s">
        <v>144</v>
      </c>
      <c r="G28" s="39" t="s">
        <v>145</v>
      </c>
      <c r="H28" s="39" t="s">
        <v>146</v>
      </c>
      <c r="I28" s="39" t="s">
        <v>147</v>
      </c>
      <c r="J28" s="39" t="s">
        <v>148</v>
      </c>
      <c r="K28" s="39" t="s">
        <v>149</v>
      </c>
      <c r="L28" s="40" t="s">
        <v>150</v>
      </c>
      <c r="M28" s="38" t="s">
        <v>195</v>
      </c>
      <c r="N28" s="41" t="s">
        <v>151</v>
      </c>
      <c r="O28" s="41" t="s">
        <v>151</v>
      </c>
      <c r="P28" s="41" t="s">
        <v>151</v>
      </c>
      <c r="Q28" s="41" t="s">
        <v>151</v>
      </c>
    </row>
    <row r="29" s="40" customFormat="true" ht="15" hidden="false" customHeight="false" outlineLevel="0" collapsed="false">
      <c r="A29" s="37" t="s">
        <v>196</v>
      </c>
      <c r="B29" s="38" t="s">
        <v>197</v>
      </c>
      <c r="C29" s="39" t="s">
        <v>141</v>
      </c>
      <c r="D29" s="39" t="s">
        <v>142</v>
      </c>
      <c r="E29" s="39" t="s">
        <v>143</v>
      </c>
      <c r="F29" s="39" t="s">
        <v>144</v>
      </c>
      <c r="G29" s="39" t="s">
        <v>145</v>
      </c>
      <c r="H29" s="39" t="s">
        <v>146</v>
      </c>
      <c r="I29" s="39" t="s">
        <v>147</v>
      </c>
      <c r="J29" s="39" t="s">
        <v>148</v>
      </c>
      <c r="K29" s="39" t="s">
        <v>149</v>
      </c>
      <c r="L29" s="40" t="s">
        <v>150</v>
      </c>
      <c r="M29" s="38" t="s">
        <v>197</v>
      </c>
      <c r="N29" s="41" t="s">
        <v>151</v>
      </c>
      <c r="O29" s="41" t="s">
        <v>151</v>
      </c>
      <c r="P29" s="41" t="s">
        <v>151</v>
      </c>
      <c r="Q29" s="41" t="s">
        <v>151</v>
      </c>
    </row>
    <row r="30" s="40" customFormat="true" ht="15" hidden="false" customHeight="false" outlineLevel="0" collapsed="false">
      <c r="A30" s="42" t="s">
        <v>198</v>
      </c>
      <c r="B30" s="42" t="s">
        <v>199</v>
      </c>
      <c r="C30" s="39" t="s">
        <v>141</v>
      </c>
      <c r="D30" s="39" t="s">
        <v>142</v>
      </c>
      <c r="E30" s="39" t="s">
        <v>143</v>
      </c>
      <c r="F30" s="39" t="s">
        <v>144</v>
      </c>
      <c r="G30" s="39" t="s">
        <v>145</v>
      </c>
      <c r="H30" s="39" t="s">
        <v>146</v>
      </c>
      <c r="I30" s="39" t="s">
        <v>147</v>
      </c>
      <c r="J30" s="39" t="s">
        <v>148</v>
      </c>
      <c r="K30" s="39" t="s">
        <v>149</v>
      </c>
      <c r="L30" s="40" t="s">
        <v>150</v>
      </c>
      <c r="M30" s="42" t="s">
        <v>199</v>
      </c>
      <c r="N30" s="41" t="s">
        <v>151</v>
      </c>
      <c r="O30" s="41" t="s">
        <v>151</v>
      </c>
      <c r="P30" s="41" t="s">
        <v>151</v>
      </c>
      <c r="Q30" s="41" t="s">
        <v>151</v>
      </c>
    </row>
    <row r="31" s="40" customFormat="true" ht="15" hidden="false" customHeight="false" outlineLevel="0" collapsed="false">
      <c r="A31" s="37" t="s">
        <v>200</v>
      </c>
      <c r="B31" s="38" t="s">
        <v>201</v>
      </c>
      <c r="C31" s="39" t="s">
        <v>141</v>
      </c>
      <c r="D31" s="39" t="s">
        <v>142</v>
      </c>
      <c r="E31" s="39" t="s">
        <v>143</v>
      </c>
      <c r="F31" s="39" t="s">
        <v>144</v>
      </c>
      <c r="G31" s="39" t="s">
        <v>145</v>
      </c>
      <c r="H31" s="39" t="s">
        <v>146</v>
      </c>
      <c r="I31" s="39" t="s">
        <v>147</v>
      </c>
      <c r="J31" s="39" t="s">
        <v>148</v>
      </c>
      <c r="K31" s="39" t="s">
        <v>149</v>
      </c>
      <c r="L31" s="40" t="s">
        <v>150</v>
      </c>
      <c r="M31" s="38" t="s">
        <v>201</v>
      </c>
      <c r="N31" s="41" t="s">
        <v>151</v>
      </c>
      <c r="O31" s="41" t="s">
        <v>151</v>
      </c>
      <c r="P31" s="41" t="s">
        <v>151</v>
      </c>
      <c r="Q31" s="41" t="s">
        <v>151</v>
      </c>
    </row>
    <row r="32" s="40" customFormat="true" ht="15" hidden="false" customHeight="false" outlineLevel="0" collapsed="false">
      <c r="A32" s="37" t="s">
        <v>202</v>
      </c>
      <c r="B32" s="39" t="s">
        <v>203</v>
      </c>
      <c r="C32" s="39" t="s">
        <v>141</v>
      </c>
      <c r="D32" s="39" t="s">
        <v>142</v>
      </c>
      <c r="E32" s="39" t="s">
        <v>143</v>
      </c>
      <c r="F32" s="39" t="s">
        <v>144</v>
      </c>
      <c r="G32" s="39" t="s">
        <v>145</v>
      </c>
      <c r="H32" s="39" t="s">
        <v>146</v>
      </c>
      <c r="I32" s="39" t="s">
        <v>147</v>
      </c>
      <c r="J32" s="39" t="s">
        <v>148</v>
      </c>
      <c r="K32" s="39" t="s">
        <v>149</v>
      </c>
      <c r="L32" s="40" t="s">
        <v>150</v>
      </c>
      <c r="M32" s="39" t="s">
        <v>203</v>
      </c>
      <c r="N32" s="41" t="s">
        <v>151</v>
      </c>
      <c r="O32" s="41" t="s">
        <v>151</v>
      </c>
      <c r="P32" s="41" t="s">
        <v>151</v>
      </c>
      <c r="Q32" s="41" t="s">
        <v>151</v>
      </c>
    </row>
    <row r="33" s="40" customFormat="true" ht="15" hidden="false" customHeight="false" outlineLevel="0" collapsed="false">
      <c r="A33" s="37" t="s">
        <v>204</v>
      </c>
      <c r="B33" s="38" t="s">
        <v>205</v>
      </c>
      <c r="C33" s="39" t="s">
        <v>141</v>
      </c>
      <c r="D33" s="39" t="s">
        <v>142</v>
      </c>
      <c r="E33" s="39" t="s">
        <v>143</v>
      </c>
      <c r="F33" s="39" t="s">
        <v>144</v>
      </c>
      <c r="G33" s="39" t="s">
        <v>145</v>
      </c>
      <c r="H33" s="39" t="s">
        <v>146</v>
      </c>
      <c r="I33" s="39" t="s">
        <v>147</v>
      </c>
      <c r="J33" s="39" t="s">
        <v>148</v>
      </c>
      <c r="K33" s="39" t="s">
        <v>149</v>
      </c>
      <c r="L33" s="40" t="s">
        <v>150</v>
      </c>
      <c r="M33" s="38" t="s">
        <v>205</v>
      </c>
      <c r="N33" s="41" t="s">
        <v>151</v>
      </c>
      <c r="O33" s="41" t="s">
        <v>151</v>
      </c>
      <c r="P33" s="41" t="s">
        <v>151</v>
      </c>
      <c r="Q33" s="41" t="s">
        <v>151</v>
      </c>
    </row>
    <row r="34" s="40" customFormat="true" ht="15" hidden="false" customHeight="false" outlineLevel="0" collapsed="false">
      <c r="A34" s="37" t="s">
        <v>206</v>
      </c>
      <c r="B34" s="38" t="s">
        <v>207</v>
      </c>
      <c r="C34" s="39" t="s">
        <v>141</v>
      </c>
      <c r="D34" s="39" t="s">
        <v>142</v>
      </c>
      <c r="E34" s="39" t="s">
        <v>143</v>
      </c>
      <c r="F34" s="39" t="s">
        <v>144</v>
      </c>
      <c r="G34" s="39" t="s">
        <v>145</v>
      </c>
      <c r="H34" s="39" t="s">
        <v>146</v>
      </c>
      <c r="I34" s="39" t="s">
        <v>147</v>
      </c>
      <c r="J34" s="39" t="s">
        <v>148</v>
      </c>
      <c r="K34" s="39" t="s">
        <v>149</v>
      </c>
      <c r="L34" s="40" t="s">
        <v>150</v>
      </c>
      <c r="M34" s="38" t="s">
        <v>207</v>
      </c>
      <c r="N34" s="41" t="s">
        <v>151</v>
      </c>
      <c r="O34" s="41" t="s">
        <v>151</v>
      </c>
      <c r="P34" s="41" t="s">
        <v>151</v>
      </c>
      <c r="Q34" s="41" t="s">
        <v>151</v>
      </c>
    </row>
    <row r="35" s="40" customFormat="true" ht="15" hidden="false" customHeight="false" outlineLevel="0" collapsed="false">
      <c r="A35" s="39" t="s">
        <v>208</v>
      </c>
      <c r="B35" s="38" t="s">
        <v>209</v>
      </c>
      <c r="C35" s="39" t="s">
        <v>141</v>
      </c>
      <c r="D35" s="39" t="s">
        <v>142</v>
      </c>
      <c r="E35" s="39" t="s">
        <v>143</v>
      </c>
      <c r="F35" s="39" t="s">
        <v>144</v>
      </c>
      <c r="G35" s="39" t="s">
        <v>145</v>
      </c>
      <c r="H35" s="39" t="s">
        <v>146</v>
      </c>
      <c r="I35" s="39" t="s">
        <v>147</v>
      </c>
      <c r="J35" s="39" t="s">
        <v>148</v>
      </c>
      <c r="K35" s="39" t="s">
        <v>149</v>
      </c>
      <c r="L35" s="40" t="s">
        <v>150</v>
      </c>
      <c r="M35" s="38" t="s">
        <v>209</v>
      </c>
      <c r="N35" s="41" t="s">
        <v>151</v>
      </c>
      <c r="O35" s="41" t="s">
        <v>151</v>
      </c>
      <c r="P35" s="41" t="s">
        <v>151</v>
      </c>
      <c r="Q35" s="41" t="s">
        <v>151</v>
      </c>
    </row>
    <row r="36" s="40" customFormat="true" ht="15" hidden="false" customHeight="false" outlineLevel="0" collapsed="false">
      <c r="A36" s="39" t="s">
        <v>210</v>
      </c>
      <c r="B36" s="38" t="s">
        <v>211</v>
      </c>
      <c r="C36" s="39" t="s">
        <v>141</v>
      </c>
      <c r="D36" s="39" t="s">
        <v>142</v>
      </c>
      <c r="E36" s="39" t="s">
        <v>143</v>
      </c>
      <c r="F36" s="39" t="s">
        <v>144</v>
      </c>
      <c r="G36" s="39" t="s">
        <v>145</v>
      </c>
      <c r="H36" s="39" t="s">
        <v>146</v>
      </c>
      <c r="I36" s="39" t="s">
        <v>147</v>
      </c>
      <c r="J36" s="39" t="s">
        <v>148</v>
      </c>
      <c r="K36" s="39" t="s">
        <v>149</v>
      </c>
      <c r="L36" s="40" t="s">
        <v>150</v>
      </c>
      <c r="M36" s="38" t="s">
        <v>211</v>
      </c>
      <c r="N36" s="41" t="s">
        <v>151</v>
      </c>
      <c r="O36" s="41" t="s">
        <v>151</v>
      </c>
      <c r="P36" s="41" t="s">
        <v>151</v>
      </c>
      <c r="Q36" s="41" t="s">
        <v>151</v>
      </c>
    </row>
    <row r="37" s="40" customFormat="true" ht="15" hidden="false" customHeight="false" outlineLevel="0" collapsed="false">
      <c r="A37" s="39" t="s">
        <v>212</v>
      </c>
      <c r="B37" s="38" t="s">
        <v>213</v>
      </c>
      <c r="C37" s="39" t="s">
        <v>141</v>
      </c>
      <c r="D37" s="39" t="s">
        <v>142</v>
      </c>
      <c r="E37" s="39" t="s">
        <v>143</v>
      </c>
      <c r="F37" s="39" t="s">
        <v>144</v>
      </c>
      <c r="G37" s="39" t="s">
        <v>145</v>
      </c>
      <c r="H37" s="39" t="s">
        <v>146</v>
      </c>
      <c r="I37" s="39" t="s">
        <v>147</v>
      </c>
      <c r="J37" s="39" t="s">
        <v>148</v>
      </c>
      <c r="K37" s="39" t="s">
        <v>149</v>
      </c>
      <c r="L37" s="40" t="s">
        <v>150</v>
      </c>
      <c r="M37" s="38" t="s">
        <v>213</v>
      </c>
      <c r="N37" s="41" t="s">
        <v>151</v>
      </c>
      <c r="O37" s="41" t="s">
        <v>151</v>
      </c>
      <c r="P37" s="41" t="s">
        <v>151</v>
      </c>
      <c r="Q37" s="41" t="s">
        <v>151</v>
      </c>
    </row>
    <row r="38" s="40" customFormat="true" ht="15" hidden="false" customHeight="false" outlineLevel="0" collapsed="false">
      <c r="A38" s="39" t="s">
        <v>214</v>
      </c>
      <c r="B38" s="38" t="s">
        <v>215</v>
      </c>
      <c r="C38" s="39" t="s">
        <v>141</v>
      </c>
      <c r="D38" s="39" t="s">
        <v>142</v>
      </c>
      <c r="E38" s="39" t="s">
        <v>143</v>
      </c>
      <c r="F38" s="39" t="s">
        <v>144</v>
      </c>
      <c r="G38" s="39" t="s">
        <v>145</v>
      </c>
      <c r="H38" s="39" t="s">
        <v>146</v>
      </c>
      <c r="I38" s="39" t="s">
        <v>147</v>
      </c>
      <c r="J38" s="39" t="s">
        <v>148</v>
      </c>
      <c r="K38" s="39" t="s">
        <v>149</v>
      </c>
      <c r="L38" s="40" t="s">
        <v>150</v>
      </c>
      <c r="M38" s="38" t="s">
        <v>215</v>
      </c>
      <c r="N38" s="41" t="s">
        <v>151</v>
      </c>
      <c r="O38" s="41" t="s">
        <v>151</v>
      </c>
      <c r="P38" s="41" t="s">
        <v>151</v>
      </c>
      <c r="Q38" s="41" t="s">
        <v>151</v>
      </c>
    </row>
    <row r="39" s="40" customFormat="true" ht="15" hidden="false" customHeight="false" outlineLevel="0" collapsed="false">
      <c r="A39" s="39" t="s">
        <v>216</v>
      </c>
      <c r="B39" s="38" t="s">
        <v>217</v>
      </c>
      <c r="C39" s="39" t="s">
        <v>141</v>
      </c>
      <c r="D39" s="39" t="s">
        <v>142</v>
      </c>
      <c r="E39" s="39" t="s">
        <v>143</v>
      </c>
      <c r="F39" s="39" t="s">
        <v>144</v>
      </c>
      <c r="G39" s="39" t="s">
        <v>145</v>
      </c>
      <c r="H39" s="39" t="s">
        <v>146</v>
      </c>
      <c r="I39" s="39" t="s">
        <v>147</v>
      </c>
      <c r="J39" s="39" t="s">
        <v>148</v>
      </c>
      <c r="K39" s="39" t="s">
        <v>149</v>
      </c>
      <c r="L39" s="40" t="s">
        <v>150</v>
      </c>
      <c r="M39" s="38" t="s">
        <v>217</v>
      </c>
      <c r="N39" s="41" t="s">
        <v>151</v>
      </c>
      <c r="O39" s="41" t="s">
        <v>151</v>
      </c>
      <c r="P39" s="41" t="s">
        <v>151</v>
      </c>
      <c r="Q39" s="41" t="s">
        <v>151</v>
      </c>
    </row>
    <row r="40" s="40" customFormat="true" ht="15" hidden="false" customHeight="false" outlineLevel="0" collapsed="false">
      <c r="A40" s="39" t="s">
        <v>218</v>
      </c>
      <c r="B40" s="38" t="s">
        <v>219</v>
      </c>
      <c r="C40" s="39" t="s">
        <v>141</v>
      </c>
      <c r="D40" s="39" t="s">
        <v>142</v>
      </c>
      <c r="E40" s="39" t="s">
        <v>143</v>
      </c>
      <c r="F40" s="39" t="s">
        <v>144</v>
      </c>
      <c r="G40" s="39" t="s">
        <v>145</v>
      </c>
      <c r="H40" s="39" t="s">
        <v>146</v>
      </c>
      <c r="I40" s="39" t="s">
        <v>147</v>
      </c>
      <c r="J40" s="39" t="s">
        <v>148</v>
      </c>
      <c r="K40" s="39" t="s">
        <v>149</v>
      </c>
      <c r="L40" s="40" t="s">
        <v>150</v>
      </c>
      <c r="M40" s="38" t="s">
        <v>219</v>
      </c>
      <c r="N40" s="41" t="s">
        <v>151</v>
      </c>
      <c r="O40" s="41" t="s">
        <v>151</v>
      </c>
      <c r="P40" s="41" t="s">
        <v>151</v>
      </c>
      <c r="Q40" s="41" t="s">
        <v>151</v>
      </c>
    </row>
    <row r="41" s="40" customFormat="true" ht="15" hidden="false" customHeight="false" outlineLevel="0" collapsed="false">
      <c r="A41" s="39" t="s">
        <v>220</v>
      </c>
      <c r="B41" s="38" t="s">
        <v>221</v>
      </c>
      <c r="C41" s="39" t="s">
        <v>141</v>
      </c>
      <c r="D41" s="39" t="s">
        <v>142</v>
      </c>
      <c r="E41" s="39" t="s">
        <v>143</v>
      </c>
      <c r="F41" s="39" t="s">
        <v>144</v>
      </c>
      <c r="G41" s="39" t="s">
        <v>145</v>
      </c>
      <c r="H41" s="39" t="s">
        <v>146</v>
      </c>
      <c r="I41" s="39" t="s">
        <v>147</v>
      </c>
      <c r="J41" s="39" t="s">
        <v>148</v>
      </c>
      <c r="K41" s="39" t="s">
        <v>149</v>
      </c>
      <c r="L41" s="40" t="s">
        <v>150</v>
      </c>
      <c r="M41" s="38" t="s">
        <v>221</v>
      </c>
      <c r="N41" s="41" t="s">
        <v>151</v>
      </c>
      <c r="O41" s="41" t="s">
        <v>151</v>
      </c>
      <c r="P41" s="41" t="s">
        <v>151</v>
      </c>
      <c r="Q41" s="41" t="s">
        <v>151</v>
      </c>
    </row>
    <row r="42" s="40" customFormat="true" ht="15" hidden="false" customHeight="false" outlineLevel="0" collapsed="false">
      <c r="A42" s="39" t="s">
        <v>222</v>
      </c>
      <c r="B42" s="38" t="s">
        <v>223</v>
      </c>
      <c r="C42" s="39" t="s">
        <v>141</v>
      </c>
      <c r="D42" s="39" t="s">
        <v>142</v>
      </c>
      <c r="E42" s="39" t="s">
        <v>143</v>
      </c>
      <c r="F42" s="39" t="s">
        <v>144</v>
      </c>
      <c r="G42" s="39" t="s">
        <v>145</v>
      </c>
      <c r="H42" s="39" t="s">
        <v>146</v>
      </c>
      <c r="I42" s="39" t="s">
        <v>147</v>
      </c>
      <c r="J42" s="39" t="s">
        <v>148</v>
      </c>
      <c r="K42" s="39" t="s">
        <v>149</v>
      </c>
      <c r="L42" s="40" t="s">
        <v>150</v>
      </c>
      <c r="M42" s="38" t="s">
        <v>223</v>
      </c>
      <c r="N42" s="41" t="s">
        <v>151</v>
      </c>
      <c r="O42" s="41" t="s">
        <v>151</v>
      </c>
      <c r="P42" s="41" t="s">
        <v>151</v>
      </c>
      <c r="Q42" s="41" t="s">
        <v>151</v>
      </c>
    </row>
    <row r="43" s="40" customFormat="true" ht="15" hidden="false" customHeight="false" outlineLevel="0" collapsed="false">
      <c r="A43" s="39" t="s">
        <v>224</v>
      </c>
      <c r="B43" s="38" t="s">
        <v>225</v>
      </c>
      <c r="C43" s="39" t="s">
        <v>141</v>
      </c>
      <c r="D43" s="39" t="s">
        <v>142</v>
      </c>
      <c r="E43" s="39" t="s">
        <v>143</v>
      </c>
      <c r="F43" s="39" t="s">
        <v>144</v>
      </c>
      <c r="G43" s="39" t="s">
        <v>145</v>
      </c>
      <c r="H43" s="39" t="s">
        <v>146</v>
      </c>
      <c r="I43" s="39" t="s">
        <v>147</v>
      </c>
      <c r="J43" s="39" t="s">
        <v>148</v>
      </c>
      <c r="K43" s="39" t="s">
        <v>149</v>
      </c>
      <c r="L43" s="40" t="s">
        <v>150</v>
      </c>
      <c r="M43" s="38" t="s">
        <v>225</v>
      </c>
      <c r="N43" s="41" t="s">
        <v>151</v>
      </c>
      <c r="O43" s="41" t="s">
        <v>151</v>
      </c>
      <c r="P43" s="41" t="s">
        <v>151</v>
      </c>
      <c r="Q43" s="41" t="s">
        <v>151</v>
      </c>
    </row>
    <row r="44" s="40" customFormat="true" ht="15" hidden="false" customHeight="false" outlineLevel="0" collapsed="false">
      <c r="A44" s="39" t="s">
        <v>226</v>
      </c>
      <c r="B44" s="38" t="s">
        <v>227</v>
      </c>
      <c r="C44" s="39" t="s">
        <v>141</v>
      </c>
      <c r="D44" s="39" t="s">
        <v>142</v>
      </c>
      <c r="E44" s="39" t="s">
        <v>143</v>
      </c>
      <c r="F44" s="39" t="s">
        <v>144</v>
      </c>
      <c r="G44" s="39" t="s">
        <v>145</v>
      </c>
      <c r="H44" s="39" t="s">
        <v>146</v>
      </c>
      <c r="I44" s="39" t="s">
        <v>147</v>
      </c>
      <c r="J44" s="39" t="s">
        <v>148</v>
      </c>
      <c r="K44" s="39" t="s">
        <v>149</v>
      </c>
      <c r="L44" s="40" t="s">
        <v>150</v>
      </c>
      <c r="M44" s="38" t="s">
        <v>227</v>
      </c>
      <c r="N44" s="41" t="s">
        <v>151</v>
      </c>
      <c r="O44" s="41" t="s">
        <v>151</v>
      </c>
      <c r="P44" s="41" t="s">
        <v>151</v>
      </c>
      <c r="Q44" s="41" t="s">
        <v>151</v>
      </c>
    </row>
    <row r="45" s="40" customFormat="true" ht="15" hidden="false" customHeight="false" outlineLevel="0" collapsed="false">
      <c r="A45" s="39" t="s">
        <v>228</v>
      </c>
      <c r="B45" s="42" t="s">
        <v>229</v>
      </c>
      <c r="C45" s="39" t="s">
        <v>141</v>
      </c>
      <c r="D45" s="39" t="s">
        <v>142</v>
      </c>
      <c r="E45" s="39" t="s">
        <v>143</v>
      </c>
      <c r="F45" s="39" t="s">
        <v>144</v>
      </c>
      <c r="G45" s="39" t="s">
        <v>145</v>
      </c>
      <c r="H45" s="39" t="s">
        <v>146</v>
      </c>
      <c r="I45" s="39" t="s">
        <v>147</v>
      </c>
      <c r="J45" s="39" t="s">
        <v>148</v>
      </c>
      <c r="K45" s="39" t="s">
        <v>149</v>
      </c>
      <c r="L45" s="40" t="s">
        <v>150</v>
      </c>
      <c r="M45" s="42" t="s">
        <v>229</v>
      </c>
      <c r="N45" s="41" t="s">
        <v>151</v>
      </c>
      <c r="O45" s="41" t="s">
        <v>151</v>
      </c>
      <c r="P45" s="41" t="s">
        <v>151</v>
      </c>
      <c r="Q45" s="41" t="s">
        <v>151</v>
      </c>
    </row>
    <row r="46" s="40" customFormat="true" ht="15" hidden="false" customHeight="false" outlineLevel="0" collapsed="false">
      <c r="A46" s="39" t="s">
        <v>230</v>
      </c>
      <c r="B46" s="38" t="s">
        <v>231</v>
      </c>
      <c r="C46" s="39" t="s">
        <v>141</v>
      </c>
      <c r="D46" s="39" t="s">
        <v>142</v>
      </c>
      <c r="E46" s="39" t="s">
        <v>143</v>
      </c>
      <c r="F46" s="39" t="s">
        <v>144</v>
      </c>
      <c r="G46" s="39" t="s">
        <v>145</v>
      </c>
      <c r="H46" s="39" t="s">
        <v>146</v>
      </c>
      <c r="I46" s="39" t="s">
        <v>147</v>
      </c>
      <c r="J46" s="39" t="s">
        <v>148</v>
      </c>
      <c r="K46" s="39" t="s">
        <v>149</v>
      </c>
      <c r="L46" s="40" t="s">
        <v>150</v>
      </c>
      <c r="M46" s="38" t="s">
        <v>231</v>
      </c>
      <c r="N46" s="41" t="s">
        <v>151</v>
      </c>
      <c r="O46" s="41" t="s">
        <v>151</v>
      </c>
      <c r="P46" s="41" t="s">
        <v>151</v>
      </c>
      <c r="Q46" s="41" t="s">
        <v>151</v>
      </c>
    </row>
    <row r="47" s="40" customFormat="true" ht="15" hidden="false" customHeight="false" outlineLevel="0" collapsed="false">
      <c r="A47" s="39" t="s">
        <v>232</v>
      </c>
      <c r="B47" s="38" t="s">
        <v>233</v>
      </c>
      <c r="C47" s="39" t="s">
        <v>141</v>
      </c>
      <c r="D47" s="39" t="s">
        <v>142</v>
      </c>
      <c r="E47" s="39" t="s">
        <v>143</v>
      </c>
      <c r="F47" s="39" t="s">
        <v>144</v>
      </c>
      <c r="G47" s="39" t="s">
        <v>145</v>
      </c>
      <c r="H47" s="39" t="s">
        <v>146</v>
      </c>
      <c r="I47" s="39" t="s">
        <v>147</v>
      </c>
      <c r="J47" s="39" t="s">
        <v>148</v>
      </c>
      <c r="K47" s="39" t="s">
        <v>149</v>
      </c>
      <c r="L47" s="40" t="s">
        <v>150</v>
      </c>
      <c r="M47" s="38" t="s">
        <v>233</v>
      </c>
      <c r="N47" s="41" t="s">
        <v>151</v>
      </c>
      <c r="O47" s="41" t="s">
        <v>151</v>
      </c>
      <c r="P47" s="41" t="s">
        <v>151</v>
      </c>
      <c r="Q47" s="41" t="s">
        <v>151</v>
      </c>
    </row>
    <row r="48" s="40" customFormat="true" ht="15" hidden="false" customHeight="false" outlineLevel="0" collapsed="false">
      <c r="A48" s="38" t="s">
        <v>234</v>
      </c>
      <c r="B48" s="38" t="s">
        <v>235</v>
      </c>
      <c r="C48" s="39" t="s">
        <v>141</v>
      </c>
      <c r="D48" s="39" t="s">
        <v>142</v>
      </c>
      <c r="E48" s="39" t="s">
        <v>143</v>
      </c>
      <c r="F48" s="39" t="s">
        <v>144</v>
      </c>
      <c r="G48" s="39" t="s">
        <v>145</v>
      </c>
      <c r="H48" s="39" t="s">
        <v>146</v>
      </c>
      <c r="I48" s="39" t="s">
        <v>147</v>
      </c>
      <c r="J48" s="39" t="s">
        <v>148</v>
      </c>
      <c r="K48" s="39" t="s">
        <v>149</v>
      </c>
      <c r="L48" s="40" t="s">
        <v>150</v>
      </c>
      <c r="M48" s="38" t="s">
        <v>235</v>
      </c>
      <c r="N48" s="41" t="s">
        <v>151</v>
      </c>
      <c r="O48" s="41" t="s">
        <v>151</v>
      </c>
      <c r="P48" s="41" t="s">
        <v>151</v>
      </c>
      <c r="Q48" s="41" t="s">
        <v>151</v>
      </c>
    </row>
    <row r="49" s="40" customFormat="true" ht="15" hidden="false" customHeight="false" outlineLevel="0" collapsed="false">
      <c r="A49" s="39" t="s">
        <v>236</v>
      </c>
      <c r="B49" s="38" t="s">
        <v>237</v>
      </c>
      <c r="C49" s="39" t="s">
        <v>141</v>
      </c>
      <c r="D49" s="39" t="s">
        <v>142</v>
      </c>
      <c r="E49" s="39" t="s">
        <v>143</v>
      </c>
      <c r="F49" s="39" t="s">
        <v>144</v>
      </c>
      <c r="G49" s="39" t="s">
        <v>145</v>
      </c>
      <c r="H49" s="39" t="s">
        <v>146</v>
      </c>
      <c r="I49" s="39" t="s">
        <v>147</v>
      </c>
      <c r="J49" s="39" t="s">
        <v>148</v>
      </c>
      <c r="K49" s="39" t="s">
        <v>149</v>
      </c>
      <c r="L49" s="40" t="s">
        <v>150</v>
      </c>
      <c r="M49" s="38" t="s">
        <v>237</v>
      </c>
      <c r="N49" s="41" t="s">
        <v>151</v>
      </c>
      <c r="O49" s="41" t="s">
        <v>151</v>
      </c>
      <c r="P49" s="41" t="s">
        <v>151</v>
      </c>
      <c r="Q49" s="41" t="s">
        <v>151</v>
      </c>
    </row>
    <row r="50" s="40" customFormat="true" ht="15" hidden="false" customHeight="false" outlineLevel="0" collapsed="false">
      <c r="A50" s="39" t="s">
        <v>238</v>
      </c>
      <c r="B50" s="38" t="s">
        <v>239</v>
      </c>
      <c r="C50" s="39" t="s">
        <v>141</v>
      </c>
      <c r="D50" s="39" t="s">
        <v>142</v>
      </c>
      <c r="E50" s="39" t="s">
        <v>143</v>
      </c>
      <c r="F50" s="39" t="s">
        <v>144</v>
      </c>
      <c r="G50" s="39" t="s">
        <v>145</v>
      </c>
      <c r="H50" s="39" t="s">
        <v>146</v>
      </c>
      <c r="I50" s="39" t="s">
        <v>147</v>
      </c>
      <c r="J50" s="39" t="s">
        <v>148</v>
      </c>
      <c r="K50" s="39" t="s">
        <v>149</v>
      </c>
      <c r="L50" s="40" t="s">
        <v>150</v>
      </c>
      <c r="M50" s="38" t="s">
        <v>239</v>
      </c>
      <c r="N50" s="41" t="s">
        <v>151</v>
      </c>
      <c r="O50" s="41" t="s">
        <v>151</v>
      </c>
      <c r="P50" s="41" t="s">
        <v>151</v>
      </c>
      <c r="Q50" s="41" t="s">
        <v>151</v>
      </c>
    </row>
    <row r="51" s="40" customFormat="true" ht="15" hidden="false" customHeight="false" outlineLevel="0" collapsed="false">
      <c r="A51" s="39" t="s">
        <v>240</v>
      </c>
      <c r="B51" s="38" t="s">
        <v>241</v>
      </c>
      <c r="C51" s="39" t="s">
        <v>141</v>
      </c>
      <c r="D51" s="39" t="s">
        <v>142</v>
      </c>
      <c r="E51" s="39" t="s">
        <v>143</v>
      </c>
      <c r="F51" s="39" t="s">
        <v>144</v>
      </c>
      <c r="G51" s="39" t="s">
        <v>145</v>
      </c>
      <c r="H51" s="39" t="s">
        <v>146</v>
      </c>
      <c r="I51" s="39" t="s">
        <v>147</v>
      </c>
      <c r="J51" s="39" t="s">
        <v>148</v>
      </c>
      <c r="K51" s="39" t="s">
        <v>149</v>
      </c>
      <c r="L51" s="40" t="s">
        <v>150</v>
      </c>
      <c r="M51" s="38" t="s">
        <v>241</v>
      </c>
      <c r="N51" s="41" t="s">
        <v>151</v>
      </c>
      <c r="O51" s="41" t="s">
        <v>151</v>
      </c>
      <c r="P51" s="41" t="s">
        <v>151</v>
      </c>
      <c r="Q51" s="41" t="s">
        <v>151</v>
      </c>
    </row>
    <row r="52" s="40" customFormat="true" ht="15" hidden="false" customHeight="false" outlineLevel="0" collapsed="false">
      <c r="A52" s="39" t="s">
        <v>242</v>
      </c>
      <c r="B52" s="38" t="s">
        <v>243</v>
      </c>
      <c r="C52" s="39" t="s">
        <v>141</v>
      </c>
      <c r="D52" s="39" t="s">
        <v>142</v>
      </c>
      <c r="E52" s="39" t="s">
        <v>143</v>
      </c>
      <c r="F52" s="39" t="s">
        <v>144</v>
      </c>
      <c r="G52" s="39" t="s">
        <v>145</v>
      </c>
      <c r="H52" s="39" t="s">
        <v>146</v>
      </c>
      <c r="I52" s="39" t="s">
        <v>147</v>
      </c>
      <c r="J52" s="39" t="s">
        <v>148</v>
      </c>
      <c r="K52" s="39" t="s">
        <v>149</v>
      </c>
      <c r="L52" s="40" t="s">
        <v>150</v>
      </c>
      <c r="M52" s="38" t="s">
        <v>243</v>
      </c>
      <c r="N52" s="41" t="s">
        <v>151</v>
      </c>
      <c r="O52" s="41" t="s">
        <v>151</v>
      </c>
      <c r="P52" s="41" t="s">
        <v>151</v>
      </c>
      <c r="Q52" s="41" t="s">
        <v>151</v>
      </c>
    </row>
    <row r="53" s="40" customFormat="true" ht="15" hidden="false" customHeight="false" outlineLevel="0" collapsed="false">
      <c r="A53" s="39" t="s">
        <v>244</v>
      </c>
      <c r="B53" s="38" t="s">
        <v>245</v>
      </c>
      <c r="C53" s="39" t="s">
        <v>141</v>
      </c>
      <c r="D53" s="39" t="s">
        <v>142</v>
      </c>
      <c r="E53" s="39" t="s">
        <v>143</v>
      </c>
      <c r="F53" s="39" t="s">
        <v>144</v>
      </c>
      <c r="G53" s="39" t="s">
        <v>145</v>
      </c>
      <c r="H53" s="39" t="s">
        <v>146</v>
      </c>
      <c r="I53" s="39" t="s">
        <v>147</v>
      </c>
      <c r="J53" s="39" t="s">
        <v>148</v>
      </c>
      <c r="K53" s="39" t="s">
        <v>149</v>
      </c>
      <c r="L53" s="40" t="s">
        <v>150</v>
      </c>
      <c r="M53" s="38" t="s">
        <v>245</v>
      </c>
      <c r="N53" s="41" t="s">
        <v>151</v>
      </c>
      <c r="O53" s="41" t="s">
        <v>151</v>
      </c>
      <c r="P53" s="41" t="s">
        <v>151</v>
      </c>
      <c r="Q53" s="41" t="s">
        <v>151</v>
      </c>
    </row>
    <row r="54" s="40" customFormat="true" ht="15" hidden="false" customHeight="false" outlineLevel="0" collapsed="false">
      <c r="A54" s="39" t="s">
        <v>246</v>
      </c>
      <c r="B54" s="38" t="s">
        <v>247</v>
      </c>
      <c r="C54" s="39" t="s">
        <v>141</v>
      </c>
      <c r="D54" s="39" t="s">
        <v>142</v>
      </c>
      <c r="E54" s="39" t="s">
        <v>143</v>
      </c>
      <c r="F54" s="39" t="s">
        <v>144</v>
      </c>
      <c r="G54" s="39" t="s">
        <v>145</v>
      </c>
      <c r="H54" s="39" t="s">
        <v>146</v>
      </c>
      <c r="I54" s="39" t="s">
        <v>147</v>
      </c>
      <c r="J54" s="39" t="s">
        <v>148</v>
      </c>
      <c r="K54" s="39" t="s">
        <v>149</v>
      </c>
      <c r="L54" s="40" t="s">
        <v>150</v>
      </c>
      <c r="M54" s="38" t="s">
        <v>247</v>
      </c>
      <c r="N54" s="41" t="s">
        <v>151</v>
      </c>
      <c r="O54" s="41" t="s">
        <v>151</v>
      </c>
      <c r="P54" s="41" t="s">
        <v>151</v>
      </c>
      <c r="Q54" s="41" t="s">
        <v>151</v>
      </c>
    </row>
    <row r="55" s="40" customFormat="true" ht="15" hidden="false" customHeight="false" outlineLevel="0" collapsed="false">
      <c r="A55" s="39" t="s">
        <v>248</v>
      </c>
      <c r="B55" s="38" t="s">
        <v>249</v>
      </c>
      <c r="C55" s="39" t="s">
        <v>141</v>
      </c>
      <c r="D55" s="39" t="s">
        <v>142</v>
      </c>
      <c r="E55" s="39" t="s">
        <v>143</v>
      </c>
      <c r="F55" s="39" t="s">
        <v>144</v>
      </c>
      <c r="G55" s="39" t="s">
        <v>145</v>
      </c>
      <c r="H55" s="39" t="s">
        <v>146</v>
      </c>
      <c r="I55" s="39" t="s">
        <v>147</v>
      </c>
      <c r="J55" s="39" t="s">
        <v>148</v>
      </c>
      <c r="K55" s="39" t="s">
        <v>149</v>
      </c>
      <c r="L55" s="40" t="s">
        <v>150</v>
      </c>
      <c r="M55" s="38" t="s">
        <v>249</v>
      </c>
      <c r="N55" s="41" t="s">
        <v>151</v>
      </c>
      <c r="O55" s="41" t="s">
        <v>151</v>
      </c>
      <c r="P55" s="41" t="s">
        <v>151</v>
      </c>
      <c r="Q55" s="41" t="s">
        <v>151</v>
      </c>
    </row>
    <row r="56" s="40" customFormat="true" ht="15" hidden="false" customHeight="false" outlineLevel="0" collapsed="false">
      <c r="A56" s="39" t="s">
        <v>250</v>
      </c>
      <c r="B56" s="38" t="s">
        <v>251</v>
      </c>
      <c r="C56" s="39" t="s">
        <v>141</v>
      </c>
      <c r="D56" s="39" t="s">
        <v>142</v>
      </c>
      <c r="E56" s="39" t="s">
        <v>143</v>
      </c>
      <c r="F56" s="39" t="s">
        <v>144</v>
      </c>
      <c r="G56" s="39" t="s">
        <v>145</v>
      </c>
      <c r="H56" s="39" t="s">
        <v>146</v>
      </c>
      <c r="I56" s="39" t="s">
        <v>147</v>
      </c>
      <c r="J56" s="39" t="s">
        <v>148</v>
      </c>
      <c r="K56" s="39" t="s">
        <v>149</v>
      </c>
      <c r="L56" s="40" t="s">
        <v>150</v>
      </c>
      <c r="M56" s="38" t="s">
        <v>251</v>
      </c>
      <c r="N56" s="41" t="s">
        <v>151</v>
      </c>
      <c r="O56" s="41" t="s">
        <v>151</v>
      </c>
      <c r="P56" s="41" t="s">
        <v>151</v>
      </c>
      <c r="Q56" s="41" t="s">
        <v>151</v>
      </c>
    </row>
    <row r="57" s="40" customFormat="true" ht="15" hidden="false" customHeight="false" outlineLevel="0" collapsed="false">
      <c r="A57" s="39" t="s">
        <v>252</v>
      </c>
      <c r="B57" s="38" t="s">
        <v>253</v>
      </c>
      <c r="C57" s="39" t="s">
        <v>141</v>
      </c>
      <c r="D57" s="39" t="s">
        <v>142</v>
      </c>
      <c r="E57" s="39" t="s">
        <v>143</v>
      </c>
      <c r="F57" s="39" t="s">
        <v>144</v>
      </c>
      <c r="G57" s="39" t="s">
        <v>145</v>
      </c>
      <c r="H57" s="39" t="s">
        <v>146</v>
      </c>
      <c r="I57" s="39" t="s">
        <v>147</v>
      </c>
      <c r="J57" s="39" t="s">
        <v>148</v>
      </c>
      <c r="K57" s="39" t="s">
        <v>149</v>
      </c>
      <c r="L57" s="40" t="s">
        <v>150</v>
      </c>
      <c r="M57" s="38" t="s">
        <v>253</v>
      </c>
      <c r="N57" s="41" t="s">
        <v>151</v>
      </c>
      <c r="O57" s="41" t="s">
        <v>151</v>
      </c>
      <c r="P57" s="41" t="s">
        <v>151</v>
      </c>
      <c r="Q57" s="41" t="s">
        <v>151</v>
      </c>
    </row>
    <row r="58" s="40" customFormat="true" ht="15" hidden="false" customHeight="false" outlineLevel="0" collapsed="false">
      <c r="A58" s="39" t="s">
        <v>254</v>
      </c>
      <c r="B58" s="38" t="s">
        <v>255</v>
      </c>
      <c r="C58" s="39" t="s">
        <v>141</v>
      </c>
      <c r="D58" s="39" t="s">
        <v>142</v>
      </c>
      <c r="E58" s="39" t="s">
        <v>143</v>
      </c>
      <c r="F58" s="39" t="s">
        <v>144</v>
      </c>
      <c r="G58" s="39" t="s">
        <v>145</v>
      </c>
      <c r="H58" s="39" t="s">
        <v>146</v>
      </c>
      <c r="I58" s="39" t="s">
        <v>147</v>
      </c>
      <c r="J58" s="39" t="s">
        <v>148</v>
      </c>
      <c r="K58" s="39" t="s">
        <v>149</v>
      </c>
      <c r="L58" s="40" t="s">
        <v>150</v>
      </c>
      <c r="M58" s="38" t="s">
        <v>255</v>
      </c>
      <c r="N58" s="41" t="s">
        <v>151</v>
      </c>
      <c r="O58" s="41" t="s">
        <v>151</v>
      </c>
      <c r="P58" s="41" t="s">
        <v>151</v>
      </c>
      <c r="Q58" s="41" t="s">
        <v>151</v>
      </c>
    </row>
    <row r="59" s="40" customFormat="true" ht="15" hidden="false" customHeight="false" outlineLevel="0" collapsed="false">
      <c r="A59" s="39" t="s">
        <v>256</v>
      </c>
      <c r="B59" s="38" t="s">
        <v>257</v>
      </c>
      <c r="C59" s="39" t="s">
        <v>141</v>
      </c>
      <c r="D59" s="39" t="s">
        <v>142</v>
      </c>
      <c r="E59" s="39" t="s">
        <v>143</v>
      </c>
      <c r="F59" s="39" t="s">
        <v>144</v>
      </c>
      <c r="G59" s="39" t="s">
        <v>145</v>
      </c>
      <c r="H59" s="39" t="s">
        <v>146</v>
      </c>
      <c r="I59" s="39" t="s">
        <v>147</v>
      </c>
      <c r="J59" s="39" t="s">
        <v>148</v>
      </c>
      <c r="K59" s="39" t="s">
        <v>149</v>
      </c>
      <c r="L59" s="40" t="s">
        <v>150</v>
      </c>
      <c r="M59" s="38" t="s">
        <v>257</v>
      </c>
      <c r="N59" s="41" t="s">
        <v>151</v>
      </c>
      <c r="O59" s="41" t="s">
        <v>151</v>
      </c>
      <c r="P59" s="41" t="s">
        <v>151</v>
      </c>
      <c r="Q59" s="41" t="s">
        <v>151</v>
      </c>
    </row>
    <row r="60" s="40" customFormat="true" ht="15" hidden="false" customHeight="false" outlineLevel="0" collapsed="false">
      <c r="A60" s="39" t="s">
        <v>258</v>
      </c>
      <c r="B60" s="38" t="s">
        <v>259</v>
      </c>
      <c r="C60" s="39" t="s">
        <v>141</v>
      </c>
      <c r="D60" s="39" t="s">
        <v>142</v>
      </c>
      <c r="E60" s="39" t="s">
        <v>143</v>
      </c>
      <c r="F60" s="39" t="s">
        <v>144</v>
      </c>
      <c r="G60" s="39" t="s">
        <v>145</v>
      </c>
      <c r="H60" s="39" t="s">
        <v>146</v>
      </c>
      <c r="I60" s="39" t="s">
        <v>147</v>
      </c>
      <c r="J60" s="39" t="s">
        <v>148</v>
      </c>
      <c r="K60" s="39" t="s">
        <v>149</v>
      </c>
      <c r="L60" s="40" t="s">
        <v>150</v>
      </c>
      <c r="M60" s="38" t="s">
        <v>259</v>
      </c>
      <c r="N60" s="41" t="s">
        <v>151</v>
      </c>
      <c r="O60" s="41" t="s">
        <v>151</v>
      </c>
      <c r="P60" s="41" t="s">
        <v>151</v>
      </c>
      <c r="Q60" s="41" t="s">
        <v>151</v>
      </c>
    </row>
    <row r="61" s="40" customFormat="true" ht="15" hidden="false" customHeight="false" outlineLevel="0" collapsed="false">
      <c r="A61" s="39" t="s">
        <v>260</v>
      </c>
      <c r="B61" s="38" t="s">
        <v>261</v>
      </c>
      <c r="C61" s="39" t="s">
        <v>141</v>
      </c>
      <c r="D61" s="39" t="s">
        <v>142</v>
      </c>
      <c r="E61" s="39" t="s">
        <v>143</v>
      </c>
      <c r="F61" s="39" t="s">
        <v>144</v>
      </c>
      <c r="G61" s="39" t="s">
        <v>145</v>
      </c>
      <c r="H61" s="39" t="s">
        <v>146</v>
      </c>
      <c r="I61" s="39" t="s">
        <v>147</v>
      </c>
      <c r="J61" s="39" t="s">
        <v>148</v>
      </c>
      <c r="K61" s="39" t="s">
        <v>149</v>
      </c>
      <c r="L61" s="40" t="s">
        <v>150</v>
      </c>
      <c r="M61" s="38" t="s">
        <v>261</v>
      </c>
      <c r="N61" s="41" t="s">
        <v>151</v>
      </c>
      <c r="O61" s="41" t="s">
        <v>151</v>
      </c>
      <c r="P61" s="41" t="s">
        <v>151</v>
      </c>
      <c r="Q61" s="41" t="s">
        <v>151</v>
      </c>
    </row>
    <row r="62" s="40" customFormat="true" ht="15" hidden="false" customHeight="false" outlineLevel="0" collapsed="false">
      <c r="A62" s="39" t="s">
        <v>262</v>
      </c>
      <c r="B62" s="38" t="s">
        <v>263</v>
      </c>
      <c r="C62" s="39" t="s">
        <v>141</v>
      </c>
      <c r="D62" s="39" t="s">
        <v>142</v>
      </c>
      <c r="E62" s="39" t="s">
        <v>143</v>
      </c>
      <c r="F62" s="39" t="s">
        <v>144</v>
      </c>
      <c r="G62" s="39" t="s">
        <v>145</v>
      </c>
      <c r="H62" s="39" t="s">
        <v>146</v>
      </c>
      <c r="I62" s="39" t="s">
        <v>147</v>
      </c>
      <c r="J62" s="39" t="s">
        <v>148</v>
      </c>
      <c r="K62" s="39" t="s">
        <v>149</v>
      </c>
      <c r="L62" s="40" t="s">
        <v>150</v>
      </c>
      <c r="M62" s="38" t="s">
        <v>263</v>
      </c>
      <c r="N62" s="41" t="s">
        <v>151</v>
      </c>
      <c r="O62" s="41" t="s">
        <v>151</v>
      </c>
      <c r="P62" s="41" t="s">
        <v>151</v>
      </c>
      <c r="Q62" s="41" t="s">
        <v>151</v>
      </c>
    </row>
    <row r="63" s="40" customFormat="true" ht="15" hidden="false" customHeight="false" outlineLevel="0" collapsed="false">
      <c r="A63" s="39" t="s">
        <v>264</v>
      </c>
      <c r="B63" s="38" t="s">
        <v>265</v>
      </c>
      <c r="C63" s="39" t="s">
        <v>141</v>
      </c>
      <c r="D63" s="39" t="s">
        <v>142</v>
      </c>
      <c r="E63" s="39" t="s">
        <v>143</v>
      </c>
      <c r="F63" s="39" t="s">
        <v>144</v>
      </c>
      <c r="G63" s="39" t="s">
        <v>145</v>
      </c>
      <c r="H63" s="39" t="s">
        <v>146</v>
      </c>
      <c r="I63" s="39" t="s">
        <v>147</v>
      </c>
      <c r="J63" s="39" t="s">
        <v>148</v>
      </c>
      <c r="K63" s="39" t="s">
        <v>149</v>
      </c>
      <c r="L63" s="40" t="s">
        <v>150</v>
      </c>
      <c r="M63" s="38" t="s">
        <v>265</v>
      </c>
      <c r="N63" s="41" t="s">
        <v>151</v>
      </c>
      <c r="O63" s="41" t="s">
        <v>151</v>
      </c>
      <c r="P63" s="41" t="s">
        <v>151</v>
      </c>
      <c r="Q63" s="41" t="s">
        <v>151</v>
      </c>
    </row>
    <row r="64" s="40" customFormat="true" ht="15" hidden="false" customHeight="false" outlineLevel="0" collapsed="false">
      <c r="A64" s="39" t="s">
        <v>266</v>
      </c>
      <c r="B64" s="38" t="s">
        <v>267</v>
      </c>
      <c r="C64" s="39" t="s">
        <v>141</v>
      </c>
      <c r="D64" s="39" t="s">
        <v>142</v>
      </c>
      <c r="E64" s="39" t="s">
        <v>143</v>
      </c>
      <c r="F64" s="39" t="s">
        <v>144</v>
      </c>
      <c r="G64" s="39" t="s">
        <v>145</v>
      </c>
      <c r="H64" s="39" t="s">
        <v>146</v>
      </c>
      <c r="I64" s="39" t="s">
        <v>147</v>
      </c>
      <c r="J64" s="39" t="s">
        <v>148</v>
      </c>
      <c r="K64" s="39" t="s">
        <v>149</v>
      </c>
      <c r="L64" s="40" t="s">
        <v>150</v>
      </c>
      <c r="M64" s="38" t="s">
        <v>267</v>
      </c>
      <c r="N64" s="41" t="s">
        <v>151</v>
      </c>
      <c r="O64" s="41" t="s">
        <v>151</v>
      </c>
      <c r="P64" s="41" t="s">
        <v>151</v>
      </c>
      <c r="Q64" s="41" t="s">
        <v>151</v>
      </c>
    </row>
    <row r="65" s="40" customFormat="true" ht="15" hidden="false" customHeight="false" outlineLevel="0" collapsed="false">
      <c r="A65" s="42" t="s">
        <v>268</v>
      </c>
      <c r="B65" s="38" t="s">
        <v>269</v>
      </c>
      <c r="C65" s="39" t="s">
        <v>141</v>
      </c>
      <c r="D65" s="39" t="s">
        <v>142</v>
      </c>
      <c r="E65" s="39" t="s">
        <v>143</v>
      </c>
      <c r="F65" s="39" t="s">
        <v>144</v>
      </c>
      <c r="G65" s="39" t="s">
        <v>145</v>
      </c>
      <c r="H65" s="39" t="s">
        <v>146</v>
      </c>
      <c r="I65" s="39" t="s">
        <v>147</v>
      </c>
      <c r="J65" s="39" t="s">
        <v>148</v>
      </c>
      <c r="K65" s="39" t="s">
        <v>149</v>
      </c>
      <c r="L65" s="40" t="s">
        <v>150</v>
      </c>
      <c r="M65" s="38" t="s">
        <v>269</v>
      </c>
      <c r="N65" s="41" t="s">
        <v>151</v>
      </c>
      <c r="O65" s="41" t="s">
        <v>151</v>
      </c>
      <c r="P65" s="41" t="s">
        <v>151</v>
      </c>
      <c r="Q65" s="41" t="s">
        <v>151</v>
      </c>
    </row>
    <row r="66" s="40" customFormat="true" ht="15" hidden="false" customHeight="false" outlineLevel="0" collapsed="false">
      <c r="A66" s="39" t="s">
        <v>270</v>
      </c>
      <c r="B66" s="38" t="s">
        <v>271</v>
      </c>
      <c r="C66" s="39" t="s">
        <v>141</v>
      </c>
      <c r="D66" s="39" t="s">
        <v>142</v>
      </c>
      <c r="E66" s="39" t="s">
        <v>143</v>
      </c>
      <c r="F66" s="39" t="s">
        <v>144</v>
      </c>
      <c r="G66" s="39" t="s">
        <v>145</v>
      </c>
      <c r="H66" s="39" t="s">
        <v>146</v>
      </c>
      <c r="I66" s="39" t="s">
        <v>147</v>
      </c>
      <c r="J66" s="39" t="s">
        <v>148</v>
      </c>
      <c r="K66" s="39" t="s">
        <v>149</v>
      </c>
      <c r="L66" s="40" t="s">
        <v>150</v>
      </c>
      <c r="M66" s="38" t="s">
        <v>271</v>
      </c>
      <c r="N66" s="41" t="s">
        <v>151</v>
      </c>
      <c r="O66" s="41" t="s">
        <v>151</v>
      </c>
      <c r="P66" s="41" t="s">
        <v>151</v>
      </c>
      <c r="Q66" s="41" t="s">
        <v>151</v>
      </c>
    </row>
    <row r="67" s="40" customFormat="true" ht="15" hidden="false" customHeight="false" outlineLevel="0" collapsed="false">
      <c r="A67" s="38" t="s">
        <v>272</v>
      </c>
      <c r="B67" s="38" t="s">
        <v>273</v>
      </c>
      <c r="C67" s="39" t="s">
        <v>141</v>
      </c>
      <c r="D67" s="39" t="s">
        <v>142</v>
      </c>
      <c r="E67" s="39" t="s">
        <v>143</v>
      </c>
      <c r="F67" s="39" t="s">
        <v>144</v>
      </c>
      <c r="G67" s="39" t="s">
        <v>145</v>
      </c>
      <c r="H67" s="39" t="s">
        <v>146</v>
      </c>
      <c r="I67" s="39" t="s">
        <v>147</v>
      </c>
      <c r="J67" s="39" t="s">
        <v>148</v>
      </c>
      <c r="K67" s="39" t="s">
        <v>149</v>
      </c>
      <c r="L67" s="40" t="s">
        <v>150</v>
      </c>
      <c r="M67" s="38" t="s">
        <v>273</v>
      </c>
      <c r="N67" s="41" t="s">
        <v>151</v>
      </c>
      <c r="O67" s="41" t="s">
        <v>151</v>
      </c>
      <c r="P67" s="41" t="s">
        <v>151</v>
      </c>
      <c r="Q67" s="41" t="s">
        <v>151</v>
      </c>
    </row>
    <row r="68" s="40" customFormat="true" ht="15" hidden="false" customHeight="false" outlineLevel="0" collapsed="false">
      <c r="A68" s="39" t="s">
        <v>274</v>
      </c>
      <c r="B68" s="38" t="s">
        <v>275</v>
      </c>
      <c r="C68" s="39" t="s">
        <v>141</v>
      </c>
      <c r="D68" s="39" t="s">
        <v>142</v>
      </c>
      <c r="E68" s="39" t="s">
        <v>143</v>
      </c>
      <c r="F68" s="39" t="s">
        <v>144</v>
      </c>
      <c r="G68" s="39" t="s">
        <v>145</v>
      </c>
      <c r="H68" s="39" t="s">
        <v>146</v>
      </c>
      <c r="I68" s="39" t="s">
        <v>147</v>
      </c>
      <c r="J68" s="39" t="s">
        <v>148</v>
      </c>
      <c r="K68" s="39" t="s">
        <v>149</v>
      </c>
      <c r="L68" s="40" t="s">
        <v>150</v>
      </c>
      <c r="M68" s="38" t="s">
        <v>275</v>
      </c>
      <c r="N68" s="41" t="s">
        <v>151</v>
      </c>
      <c r="O68" s="41" t="s">
        <v>151</v>
      </c>
      <c r="P68" s="41" t="s">
        <v>151</v>
      </c>
      <c r="Q68" s="41" t="s">
        <v>151</v>
      </c>
    </row>
    <row r="69" s="40" customFormat="true" ht="15" hidden="false" customHeight="false" outlineLevel="0" collapsed="false">
      <c r="A69" s="39" t="s">
        <v>276</v>
      </c>
      <c r="B69" s="38" t="s">
        <v>277</v>
      </c>
      <c r="C69" s="39" t="s">
        <v>141</v>
      </c>
      <c r="D69" s="39" t="s">
        <v>142</v>
      </c>
      <c r="E69" s="39" t="s">
        <v>143</v>
      </c>
      <c r="F69" s="39" t="s">
        <v>144</v>
      </c>
      <c r="G69" s="39" t="s">
        <v>145</v>
      </c>
      <c r="H69" s="39" t="s">
        <v>146</v>
      </c>
      <c r="I69" s="39" t="s">
        <v>147</v>
      </c>
      <c r="J69" s="39" t="s">
        <v>148</v>
      </c>
      <c r="K69" s="39" t="s">
        <v>149</v>
      </c>
      <c r="L69" s="40" t="s">
        <v>150</v>
      </c>
      <c r="M69" s="38" t="s">
        <v>277</v>
      </c>
      <c r="N69" s="41" t="s">
        <v>151</v>
      </c>
      <c r="O69" s="41" t="s">
        <v>151</v>
      </c>
      <c r="P69" s="41" t="s">
        <v>151</v>
      </c>
      <c r="Q69" s="41" t="s">
        <v>151</v>
      </c>
    </row>
    <row r="70" s="40" customFormat="true" ht="15" hidden="false" customHeight="false" outlineLevel="0" collapsed="false">
      <c r="A70" s="39" t="s">
        <v>278</v>
      </c>
      <c r="B70" s="38" t="s">
        <v>279</v>
      </c>
      <c r="C70" s="39" t="s">
        <v>141</v>
      </c>
      <c r="D70" s="39" t="s">
        <v>142</v>
      </c>
      <c r="E70" s="39" t="s">
        <v>143</v>
      </c>
      <c r="F70" s="39" t="s">
        <v>144</v>
      </c>
      <c r="G70" s="39" t="s">
        <v>145</v>
      </c>
      <c r="H70" s="39" t="s">
        <v>146</v>
      </c>
      <c r="I70" s="39" t="s">
        <v>147</v>
      </c>
      <c r="J70" s="39" t="s">
        <v>148</v>
      </c>
      <c r="K70" s="39" t="s">
        <v>149</v>
      </c>
      <c r="L70" s="40" t="s">
        <v>150</v>
      </c>
      <c r="M70" s="38" t="s">
        <v>279</v>
      </c>
      <c r="N70" s="41" t="s">
        <v>151</v>
      </c>
      <c r="O70" s="41" t="s">
        <v>151</v>
      </c>
      <c r="P70" s="41" t="s">
        <v>151</v>
      </c>
      <c r="Q70" s="41" t="s">
        <v>151</v>
      </c>
    </row>
    <row r="71" s="40" customFormat="true" ht="15" hidden="false" customHeight="false" outlineLevel="0" collapsed="false">
      <c r="A71" s="38" t="s">
        <v>280</v>
      </c>
      <c r="B71" s="38" t="s">
        <v>281</v>
      </c>
      <c r="C71" s="39" t="s">
        <v>141</v>
      </c>
      <c r="D71" s="39" t="s">
        <v>142</v>
      </c>
      <c r="E71" s="39" t="s">
        <v>143</v>
      </c>
      <c r="F71" s="39" t="s">
        <v>144</v>
      </c>
      <c r="G71" s="39" t="s">
        <v>145</v>
      </c>
      <c r="H71" s="39" t="s">
        <v>146</v>
      </c>
      <c r="I71" s="39" t="s">
        <v>147</v>
      </c>
      <c r="J71" s="39" t="s">
        <v>148</v>
      </c>
      <c r="K71" s="39" t="s">
        <v>149</v>
      </c>
      <c r="L71" s="40" t="s">
        <v>150</v>
      </c>
      <c r="M71" s="38" t="s">
        <v>281</v>
      </c>
      <c r="N71" s="41" t="s">
        <v>151</v>
      </c>
      <c r="O71" s="41" t="s">
        <v>151</v>
      </c>
      <c r="P71" s="41" t="s">
        <v>151</v>
      </c>
      <c r="Q71" s="41" t="s">
        <v>151</v>
      </c>
    </row>
    <row r="72" s="40" customFormat="true" ht="15" hidden="false" customHeight="false" outlineLevel="0" collapsed="false">
      <c r="A72" s="39" t="s">
        <v>282</v>
      </c>
      <c r="B72" s="38" t="s">
        <v>283</v>
      </c>
      <c r="C72" s="39" t="s">
        <v>141</v>
      </c>
      <c r="D72" s="39" t="s">
        <v>142</v>
      </c>
      <c r="E72" s="39" t="s">
        <v>143</v>
      </c>
      <c r="F72" s="39" t="s">
        <v>144</v>
      </c>
      <c r="G72" s="39" t="s">
        <v>145</v>
      </c>
      <c r="H72" s="39" t="s">
        <v>146</v>
      </c>
      <c r="I72" s="39" t="s">
        <v>147</v>
      </c>
      <c r="J72" s="39" t="s">
        <v>148</v>
      </c>
      <c r="K72" s="39" t="s">
        <v>149</v>
      </c>
      <c r="L72" s="40" t="s">
        <v>150</v>
      </c>
      <c r="M72" s="38" t="s">
        <v>283</v>
      </c>
      <c r="N72" s="41" t="s">
        <v>151</v>
      </c>
      <c r="O72" s="41" t="s">
        <v>151</v>
      </c>
      <c r="P72" s="41" t="s">
        <v>151</v>
      </c>
      <c r="Q72" s="41" t="s">
        <v>151</v>
      </c>
    </row>
    <row r="73" s="40" customFormat="true" ht="15" hidden="false" customHeight="false" outlineLevel="0" collapsed="false">
      <c r="A73" s="39" t="s">
        <v>284</v>
      </c>
      <c r="B73" s="38" t="s">
        <v>285</v>
      </c>
      <c r="C73" s="39" t="s">
        <v>141</v>
      </c>
      <c r="D73" s="39" t="s">
        <v>142</v>
      </c>
      <c r="E73" s="39" t="s">
        <v>143</v>
      </c>
      <c r="F73" s="39" t="s">
        <v>144</v>
      </c>
      <c r="G73" s="39" t="s">
        <v>145</v>
      </c>
      <c r="H73" s="39" t="s">
        <v>146</v>
      </c>
      <c r="I73" s="39" t="s">
        <v>147</v>
      </c>
      <c r="J73" s="39" t="s">
        <v>148</v>
      </c>
      <c r="K73" s="39" t="s">
        <v>149</v>
      </c>
      <c r="L73" s="40" t="s">
        <v>150</v>
      </c>
      <c r="M73" s="38" t="s">
        <v>285</v>
      </c>
      <c r="N73" s="41" t="s">
        <v>151</v>
      </c>
      <c r="O73" s="41" t="s">
        <v>151</v>
      </c>
      <c r="P73" s="41" t="s">
        <v>151</v>
      </c>
      <c r="Q73" s="41" t="s">
        <v>151</v>
      </c>
    </row>
    <row r="74" s="40" customFormat="true" ht="15" hidden="false" customHeight="false" outlineLevel="0" collapsed="false">
      <c r="A74" s="39" t="s">
        <v>286</v>
      </c>
      <c r="B74" s="38" t="s">
        <v>287</v>
      </c>
      <c r="C74" s="39" t="s">
        <v>141</v>
      </c>
      <c r="D74" s="39" t="s">
        <v>142</v>
      </c>
      <c r="E74" s="39" t="s">
        <v>143</v>
      </c>
      <c r="F74" s="39" t="s">
        <v>144</v>
      </c>
      <c r="G74" s="39" t="s">
        <v>145</v>
      </c>
      <c r="H74" s="39" t="s">
        <v>146</v>
      </c>
      <c r="I74" s="39" t="s">
        <v>147</v>
      </c>
      <c r="J74" s="39" t="s">
        <v>148</v>
      </c>
      <c r="K74" s="39" t="s">
        <v>149</v>
      </c>
      <c r="L74" s="40" t="s">
        <v>150</v>
      </c>
      <c r="M74" s="38" t="s">
        <v>287</v>
      </c>
      <c r="N74" s="41" t="s">
        <v>151</v>
      </c>
      <c r="O74" s="41" t="s">
        <v>151</v>
      </c>
      <c r="P74" s="41" t="s">
        <v>151</v>
      </c>
      <c r="Q74" s="41" t="s">
        <v>151</v>
      </c>
    </row>
    <row r="75" s="40" customFormat="true" ht="15" hidden="false" customHeight="false" outlineLevel="0" collapsed="false">
      <c r="A75" s="39" t="s">
        <v>288</v>
      </c>
      <c r="B75" s="38" t="s">
        <v>289</v>
      </c>
      <c r="C75" s="39" t="s">
        <v>141</v>
      </c>
      <c r="D75" s="39" t="s">
        <v>142</v>
      </c>
      <c r="E75" s="39" t="s">
        <v>143</v>
      </c>
      <c r="F75" s="39" t="s">
        <v>144</v>
      </c>
      <c r="G75" s="39" t="s">
        <v>145</v>
      </c>
      <c r="H75" s="39" t="s">
        <v>146</v>
      </c>
      <c r="I75" s="39" t="s">
        <v>147</v>
      </c>
      <c r="J75" s="39" t="s">
        <v>148</v>
      </c>
      <c r="K75" s="39" t="s">
        <v>149</v>
      </c>
      <c r="L75" s="40" t="s">
        <v>150</v>
      </c>
      <c r="M75" s="38" t="s">
        <v>289</v>
      </c>
      <c r="N75" s="41" t="s">
        <v>151</v>
      </c>
      <c r="O75" s="41" t="s">
        <v>151</v>
      </c>
      <c r="P75" s="41" t="s">
        <v>151</v>
      </c>
      <c r="Q75" s="41" t="s">
        <v>151</v>
      </c>
    </row>
    <row r="76" s="40" customFormat="true" ht="15" hidden="false" customHeight="false" outlineLevel="0" collapsed="false">
      <c r="A76" s="39" t="s">
        <v>290</v>
      </c>
      <c r="B76" s="38" t="s">
        <v>291</v>
      </c>
      <c r="C76" s="39" t="s">
        <v>141</v>
      </c>
      <c r="D76" s="39" t="s">
        <v>142</v>
      </c>
      <c r="E76" s="39" t="s">
        <v>143</v>
      </c>
      <c r="F76" s="39" t="s">
        <v>144</v>
      </c>
      <c r="G76" s="39" t="s">
        <v>145</v>
      </c>
      <c r="H76" s="39" t="s">
        <v>146</v>
      </c>
      <c r="I76" s="39" t="s">
        <v>147</v>
      </c>
      <c r="J76" s="39" t="s">
        <v>148</v>
      </c>
      <c r="K76" s="39" t="s">
        <v>149</v>
      </c>
      <c r="L76" s="40" t="s">
        <v>150</v>
      </c>
      <c r="M76" s="38" t="s">
        <v>291</v>
      </c>
      <c r="N76" s="41" t="s">
        <v>151</v>
      </c>
      <c r="O76" s="41" t="s">
        <v>151</v>
      </c>
      <c r="P76" s="41" t="s">
        <v>151</v>
      </c>
      <c r="Q76" s="41" t="s">
        <v>151</v>
      </c>
    </row>
    <row r="77" s="40" customFormat="true" ht="15" hidden="false" customHeight="false" outlineLevel="0" collapsed="false">
      <c r="A77" s="39" t="s">
        <v>292</v>
      </c>
      <c r="B77" s="38" t="s">
        <v>293</v>
      </c>
      <c r="C77" s="39" t="s">
        <v>141</v>
      </c>
      <c r="D77" s="39" t="s">
        <v>142</v>
      </c>
      <c r="E77" s="39" t="s">
        <v>143</v>
      </c>
      <c r="F77" s="39" t="s">
        <v>144</v>
      </c>
      <c r="G77" s="39" t="s">
        <v>145</v>
      </c>
      <c r="H77" s="39" t="s">
        <v>146</v>
      </c>
      <c r="I77" s="39" t="s">
        <v>147</v>
      </c>
      <c r="J77" s="39" t="s">
        <v>148</v>
      </c>
      <c r="K77" s="39" t="s">
        <v>149</v>
      </c>
      <c r="L77" s="40" t="s">
        <v>150</v>
      </c>
      <c r="M77" s="38" t="s">
        <v>293</v>
      </c>
      <c r="N77" s="41" t="s">
        <v>151</v>
      </c>
      <c r="O77" s="41" t="s">
        <v>151</v>
      </c>
      <c r="P77" s="41" t="s">
        <v>151</v>
      </c>
      <c r="Q77" s="41" t="s">
        <v>151</v>
      </c>
    </row>
    <row r="78" s="40" customFormat="true" ht="15" hidden="false" customHeight="false" outlineLevel="0" collapsed="false">
      <c r="A78" s="39" t="s">
        <v>294</v>
      </c>
      <c r="B78" s="38" t="s">
        <v>295</v>
      </c>
      <c r="C78" s="39" t="s">
        <v>141</v>
      </c>
      <c r="D78" s="39" t="s">
        <v>142</v>
      </c>
      <c r="E78" s="39" t="s">
        <v>143</v>
      </c>
      <c r="F78" s="39" t="s">
        <v>144</v>
      </c>
      <c r="G78" s="39" t="s">
        <v>145</v>
      </c>
      <c r="H78" s="39" t="s">
        <v>146</v>
      </c>
      <c r="I78" s="39" t="s">
        <v>147</v>
      </c>
      <c r="J78" s="39" t="s">
        <v>148</v>
      </c>
      <c r="K78" s="39" t="s">
        <v>149</v>
      </c>
      <c r="L78" s="40" t="s">
        <v>150</v>
      </c>
      <c r="M78" s="38" t="s">
        <v>295</v>
      </c>
      <c r="N78" s="41" t="s">
        <v>151</v>
      </c>
      <c r="O78" s="41" t="s">
        <v>151</v>
      </c>
      <c r="P78" s="41" t="s">
        <v>151</v>
      </c>
      <c r="Q78" s="41" t="s">
        <v>151</v>
      </c>
    </row>
    <row r="79" s="40" customFormat="true" ht="15" hidden="false" customHeight="false" outlineLevel="0" collapsed="false">
      <c r="A79" s="43" t="s">
        <v>296</v>
      </c>
      <c r="B79" s="38" t="s">
        <v>297</v>
      </c>
      <c r="C79" s="39" t="s">
        <v>141</v>
      </c>
      <c r="D79" s="39" t="s">
        <v>142</v>
      </c>
      <c r="E79" s="39" t="s">
        <v>143</v>
      </c>
      <c r="F79" s="39" t="s">
        <v>144</v>
      </c>
      <c r="G79" s="39" t="s">
        <v>145</v>
      </c>
      <c r="H79" s="39" t="s">
        <v>146</v>
      </c>
      <c r="I79" s="39" t="s">
        <v>147</v>
      </c>
      <c r="J79" s="39" t="s">
        <v>148</v>
      </c>
      <c r="K79" s="39" t="s">
        <v>149</v>
      </c>
      <c r="L79" s="40" t="s">
        <v>150</v>
      </c>
      <c r="M79" s="38" t="s">
        <v>297</v>
      </c>
      <c r="N79" s="41" t="s">
        <v>151</v>
      </c>
      <c r="O79" s="41" t="s">
        <v>151</v>
      </c>
      <c r="P79" s="41" t="s">
        <v>151</v>
      </c>
      <c r="Q79" s="41" t="s">
        <v>151</v>
      </c>
    </row>
    <row r="80" s="40" customFormat="true" ht="15" hidden="false" customHeight="false" outlineLevel="0" collapsed="false">
      <c r="A80" s="38" t="s">
        <v>298</v>
      </c>
      <c r="B80" s="38" t="s">
        <v>299</v>
      </c>
      <c r="C80" s="39" t="s">
        <v>141</v>
      </c>
      <c r="D80" s="39" t="s">
        <v>142</v>
      </c>
      <c r="E80" s="39" t="s">
        <v>143</v>
      </c>
      <c r="F80" s="39" t="s">
        <v>144</v>
      </c>
      <c r="G80" s="39" t="s">
        <v>145</v>
      </c>
      <c r="H80" s="39" t="s">
        <v>146</v>
      </c>
      <c r="I80" s="39" t="s">
        <v>147</v>
      </c>
      <c r="J80" s="39" t="s">
        <v>148</v>
      </c>
      <c r="K80" s="39" t="s">
        <v>149</v>
      </c>
      <c r="L80" s="40" t="s">
        <v>150</v>
      </c>
      <c r="M80" s="38" t="s">
        <v>299</v>
      </c>
      <c r="N80" s="41" t="s">
        <v>151</v>
      </c>
      <c r="O80" s="41" t="s">
        <v>151</v>
      </c>
      <c r="P80" s="41" t="s">
        <v>151</v>
      </c>
      <c r="Q80" s="41" t="s">
        <v>151</v>
      </c>
    </row>
    <row r="81" s="40" customFormat="true" ht="15" hidden="false" customHeight="false" outlineLevel="0" collapsed="false">
      <c r="A81" s="39" t="s">
        <v>300</v>
      </c>
      <c r="B81" s="38" t="s">
        <v>301</v>
      </c>
      <c r="C81" s="39" t="s">
        <v>141</v>
      </c>
      <c r="D81" s="39" t="s">
        <v>142</v>
      </c>
      <c r="E81" s="39" t="s">
        <v>143</v>
      </c>
      <c r="F81" s="39" t="s">
        <v>144</v>
      </c>
      <c r="G81" s="39" t="s">
        <v>145</v>
      </c>
      <c r="H81" s="39" t="s">
        <v>146</v>
      </c>
      <c r="I81" s="39" t="s">
        <v>147</v>
      </c>
      <c r="J81" s="39" t="s">
        <v>148</v>
      </c>
      <c r="K81" s="39" t="s">
        <v>149</v>
      </c>
      <c r="L81" s="40" t="s">
        <v>150</v>
      </c>
      <c r="M81" s="38" t="s">
        <v>301</v>
      </c>
      <c r="N81" s="41" t="s">
        <v>151</v>
      </c>
      <c r="O81" s="41" t="s">
        <v>151</v>
      </c>
      <c r="P81" s="41" t="s">
        <v>151</v>
      </c>
      <c r="Q81" s="41" t="s">
        <v>151</v>
      </c>
    </row>
    <row r="82" s="40" customFormat="true" ht="15" hidden="false" customHeight="false" outlineLevel="0" collapsed="false">
      <c r="A82" s="39" t="s">
        <v>302</v>
      </c>
      <c r="B82" s="38" t="s">
        <v>303</v>
      </c>
      <c r="C82" s="39" t="s">
        <v>141</v>
      </c>
      <c r="D82" s="39" t="s">
        <v>142</v>
      </c>
      <c r="E82" s="39" t="s">
        <v>143</v>
      </c>
      <c r="F82" s="39" t="s">
        <v>144</v>
      </c>
      <c r="G82" s="39" t="s">
        <v>145</v>
      </c>
      <c r="H82" s="39" t="s">
        <v>146</v>
      </c>
      <c r="I82" s="39" t="s">
        <v>147</v>
      </c>
      <c r="J82" s="39" t="s">
        <v>148</v>
      </c>
      <c r="K82" s="39" t="s">
        <v>149</v>
      </c>
      <c r="L82" s="40" t="s">
        <v>150</v>
      </c>
      <c r="M82" s="38" t="s">
        <v>303</v>
      </c>
      <c r="N82" s="41" t="s">
        <v>151</v>
      </c>
      <c r="O82" s="41" t="s">
        <v>151</v>
      </c>
      <c r="P82" s="41" t="s">
        <v>151</v>
      </c>
      <c r="Q82" s="41" t="s">
        <v>151</v>
      </c>
    </row>
    <row r="83" s="40" customFormat="true" ht="15" hidden="false" customHeight="false" outlineLevel="0" collapsed="false">
      <c r="A83" s="42" t="s">
        <v>304</v>
      </c>
      <c r="B83" s="38" t="s">
        <v>305</v>
      </c>
      <c r="C83" s="39" t="s">
        <v>141</v>
      </c>
      <c r="D83" s="39" t="s">
        <v>142</v>
      </c>
      <c r="E83" s="39" t="s">
        <v>143</v>
      </c>
      <c r="F83" s="39" t="s">
        <v>144</v>
      </c>
      <c r="G83" s="39" t="s">
        <v>145</v>
      </c>
      <c r="H83" s="39" t="s">
        <v>146</v>
      </c>
      <c r="I83" s="39" t="s">
        <v>147</v>
      </c>
      <c r="J83" s="39" t="s">
        <v>148</v>
      </c>
      <c r="K83" s="39" t="s">
        <v>149</v>
      </c>
      <c r="L83" s="40" t="s">
        <v>150</v>
      </c>
      <c r="M83" s="38" t="s">
        <v>305</v>
      </c>
      <c r="N83" s="41" t="s">
        <v>151</v>
      </c>
      <c r="O83" s="41" t="s">
        <v>151</v>
      </c>
      <c r="P83" s="41" t="s">
        <v>151</v>
      </c>
      <c r="Q83" s="41" t="s">
        <v>151</v>
      </c>
    </row>
    <row r="84" s="40" customFormat="true" ht="15" hidden="false" customHeight="false" outlineLevel="0" collapsed="false">
      <c r="A84" s="39" t="s">
        <v>306</v>
      </c>
      <c r="B84" s="38" t="s">
        <v>307</v>
      </c>
      <c r="C84" s="39" t="s">
        <v>141</v>
      </c>
      <c r="D84" s="39" t="s">
        <v>142</v>
      </c>
      <c r="E84" s="39" t="s">
        <v>143</v>
      </c>
      <c r="F84" s="39" t="s">
        <v>144</v>
      </c>
      <c r="G84" s="39" t="s">
        <v>145</v>
      </c>
      <c r="H84" s="39" t="s">
        <v>146</v>
      </c>
      <c r="I84" s="39" t="s">
        <v>147</v>
      </c>
      <c r="J84" s="39" t="s">
        <v>148</v>
      </c>
      <c r="K84" s="39" t="s">
        <v>149</v>
      </c>
      <c r="L84" s="40" t="s">
        <v>150</v>
      </c>
      <c r="M84" s="38" t="s">
        <v>307</v>
      </c>
      <c r="N84" s="41" t="s">
        <v>151</v>
      </c>
      <c r="O84" s="41" t="s">
        <v>151</v>
      </c>
      <c r="P84" s="41" t="s">
        <v>151</v>
      </c>
      <c r="Q84" s="41" t="s">
        <v>151</v>
      </c>
    </row>
    <row r="85" s="40" customFormat="true" ht="15" hidden="false" customHeight="false" outlineLevel="0" collapsed="false">
      <c r="A85" s="39" t="s">
        <v>308</v>
      </c>
      <c r="B85" s="38" t="s">
        <v>309</v>
      </c>
      <c r="C85" s="39" t="s">
        <v>141</v>
      </c>
      <c r="D85" s="39" t="s">
        <v>142</v>
      </c>
      <c r="E85" s="39" t="s">
        <v>143</v>
      </c>
      <c r="F85" s="39" t="s">
        <v>144</v>
      </c>
      <c r="G85" s="39" t="s">
        <v>145</v>
      </c>
      <c r="H85" s="39" t="s">
        <v>146</v>
      </c>
      <c r="I85" s="39" t="s">
        <v>147</v>
      </c>
      <c r="J85" s="39" t="s">
        <v>148</v>
      </c>
      <c r="K85" s="39" t="s">
        <v>149</v>
      </c>
      <c r="L85" s="40" t="s">
        <v>150</v>
      </c>
      <c r="M85" s="38" t="s">
        <v>309</v>
      </c>
      <c r="N85" s="41" t="s">
        <v>151</v>
      </c>
      <c r="O85" s="41" t="s">
        <v>151</v>
      </c>
      <c r="P85" s="41" t="s">
        <v>151</v>
      </c>
      <c r="Q85" s="41" t="s">
        <v>151</v>
      </c>
    </row>
    <row r="86" s="40" customFormat="true" ht="15" hidden="false" customHeight="false" outlineLevel="0" collapsed="false">
      <c r="A86" s="39" t="s">
        <v>310</v>
      </c>
      <c r="B86" s="38" t="s">
        <v>311</v>
      </c>
      <c r="C86" s="39" t="s">
        <v>141</v>
      </c>
      <c r="D86" s="39" t="s">
        <v>142</v>
      </c>
      <c r="E86" s="39" t="s">
        <v>143</v>
      </c>
      <c r="F86" s="39" t="s">
        <v>144</v>
      </c>
      <c r="G86" s="39" t="s">
        <v>145</v>
      </c>
      <c r="H86" s="39" t="s">
        <v>146</v>
      </c>
      <c r="I86" s="39" t="s">
        <v>147</v>
      </c>
      <c r="J86" s="39" t="s">
        <v>148</v>
      </c>
      <c r="K86" s="39" t="s">
        <v>149</v>
      </c>
      <c r="L86" s="40" t="s">
        <v>150</v>
      </c>
      <c r="M86" s="38" t="s">
        <v>311</v>
      </c>
      <c r="N86" s="41" t="s">
        <v>151</v>
      </c>
      <c r="O86" s="41" t="s">
        <v>151</v>
      </c>
      <c r="P86" s="41" t="s">
        <v>151</v>
      </c>
      <c r="Q86" s="41" t="s">
        <v>151</v>
      </c>
    </row>
    <row r="87" s="40" customFormat="true" ht="15" hidden="false" customHeight="false" outlineLevel="0" collapsed="false">
      <c r="A87" s="39" t="s">
        <v>312</v>
      </c>
      <c r="B87" s="38" t="s">
        <v>313</v>
      </c>
      <c r="C87" s="39" t="s">
        <v>141</v>
      </c>
      <c r="D87" s="39" t="s">
        <v>142</v>
      </c>
      <c r="E87" s="39" t="s">
        <v>143</v>
      </c>
      <c r="F87" s="39" t="s">
        <v>144</v>
      </c>
      <c r="G87" s="39" t="s">
        <v>145</v>
      </c>
      <c r="H87" s="39" t="s">
        <v>146</v>
      </c>
      <c r="I87" s="39" t="s">
        <v>147</v>
      </c>
      <c r="J87" s="39" t="s">
        <v>148</v>
      </c>
      <c r="K87" s="39" t="s">
        <v>149</v>
      </c>
      <c r="L87" s="40" t="s">
        <v>150</v>
      </c>
      <c r="M87" s="38" t="s">
        <v>313</v>
      </c>
      <c r="N87" s="41" t="s">
        <v>151</v>
      </c>
      <c r="O87" s="41" t="s">
        <v>151</v>
      </c>
      <c r="P87" s="41" t="s">
        <v>151</v>
      </c>
      <c r="Q87" s="41" t="s">
        <v>151</v>
      </c>
    </row>
    <row r="88" s="40" customFormat="true" ht="15" hidden="false" customHeight="false" outlineLevel="0" collapsed="false">
      <c r="A88" s="39" t="s">
        <v>314</v>
      </c>
      <c r="B88" s="38" t="s">
        <v>315</v>
      </c>
      <c r="C88" s="39" t="s">
        <v>141</v>
      </c>
      <c r="D88" s="39" t="s">
        <v>142</v>
      </c>
      <c r="E88" s="39" t="s">
        <v>143</v>
      </c>
      <c r="F88" s="39" t="s">
        <v>144</v>
      </c>
      <c r="G88" s="39" t="s">
        <v>145</v>
      </c>
      <c r="H88" s="39" t="s">
        <v>146</v>
      </c>
      <c r="I88" s="39" t="s">
        <v>147</v>
      </c>
      <c r="J88" s="39" t="s">
        <v>148</v>
      </c>
      <c r="K88" s="39" t="s">
        <v>149</v>
      </c>
      <c r="L88" s="40" t="s">
        <v>150</v>
      </c>
      <c r="M88" s="38" t="s">
        <v>315</v>
      </c>
      <c r="N88" s="41" t="s">
        <v>151</v>
      </c>
      <c r="O88" s="41" t="s">
        <v>151</v>
      </c>
      <c r="P88" s="41" t="s">
        <v>151</v>
      </c>
      <c r="Q88" s="41" t="s">
        <v>151</v>
      </c>
    </row>
    <row r="89" s="40" customFormat="true" ht="15" hidden="false" customHeight="false" outlineLevel="0" collapsed="false">
      <c r="A89" s="39" t="s">
        <v>316</v>
      </c>
      <c r="B89" s="38" t="s">
        <v>317</v>
      </c>
      <c r="C89" s="39" t="s">
        <v>141</v>
      </c>
      <c r="D89" s="39" t="s">
        <v>142</v>
      </c>
      <c r="E89" s="39" t="s">
        <v>143</v>
      </c>
      <c r="F89" s="39" t="s">
        <v>144</v>
      </c>
      <c r="G89" s="39" t="s">
        <v>145</v>
      </c>
      <c r="H89" s="39" t="s">
        <v>146</v>
      </c>
      <c r="I89" s="39" t="s">
        <v>147</v>
      </c>
      <c r="J89" s="39" t="s">
        <v>148</v>
      </c>
      <c r="K89" s="39" t="s">
        <v>149</v>
      </c>
      <c r="L89" s="40" t="s">
        <v>150</v>
      </c>
      <c r="M89" s="38" t="s">
        <v>317</v>
      </c>
      <c r="N89" s="41" t="s">
        <v>151</v>
      </c>
      <c r="O89" s="41" t="s">
        <v>151</v>
      </c>
      <c r="P89" s="41" t="s">
        <v>151</v>
      </c>
      <c r="Q89" s="41" t="s">
        <v>151</v>
      </c>
    </row>
    <row r="90" s="40" customFormat="true" ht="15" hidden="false" customHeight="false" outlineLevel="0" collapsed="false">
      <c r="A90" s="42" t="s">
        <v>318</v>
      </c>
      <c r="B90" s="38" t="s">
        <v>319</v>
      </c>
      <c r="C90" s="39" t="s">
        <v>141</v>
      </c>
      <c r="D90" s="39" t="s">
        <v>142</v>
      </c>
      <c r="E90" s="39" t="s">
        <v>143</v>
      </c>
      <c r="F90" s="39" t="s">
        <v>144</v>
      </c>
      <c r="G90" s="39" t="s">
        <v>145</v>
      </c>
      <c r="H90" s="39" t="s">
        <v>146</v>
      </c>
      <c r="I90" s="39" t="s">
        <v>147</v>
      </c>
      <c r="J90" s="39" t="s">
        <v>148</v>
      </c>
      <c r="K90" s="39" t="s">
        <v>149</v>
      </c>
      <c r="L90" s="40" t="s">
        <v>150</v>
      </c>
      <c r="M90" s="38" t="s">
        <v>319</v>
      </c>
      <c r="N90" s="41" t="s">
        <v>151</v>
      </c>
      <c r="O90" s="41" t="s">
        <v>151</v>
      </c>
      <c r="P90" s="41" t="s">
        <v>151</v>
      </c>
      <c r="Q90" s="41" t="s">
        <v>151</v>
      </c>
    </row>
    <row r="91" s="40" customFormat="true" ht="15" hidden="false" customHeight="false" outlineLevel="0" collapsed="false">
      <c r="A91" s="39" t="s">
        <v>320</v>
      </c>
      <c r="B91" s="38" t="s">
        <v>321</v>
      </c>
      <c r="C91" s="39" t="s">
        <v>141</v>
      </c>
      <c r="D91" s="39" t="s">
        <v>142</v>
      </c>
      <c r="E91" s="39" t="s">
        <v>143</v>
      </c>
      <c r="F91" s="39" t="s">
        <v>144</v>
      </c>
      <c r="G91" s="39" t="s">
        <v>145</v>
      </c>
      <c r="H91" s="39" t="s">
        <v>146</v>
      </c>
      <c r="I91" s="39" t="s">
        <v>147</v>
      </c>
      <c r="J91" s="39" t="s">
        <v>148</v>
      </c>
      <c r="K91" s="39" t="s">
        <v>149</v>
      </c>
      <c r="L91" s="40" t="s">
        <v>150</v>
      </c>
      <c r="M91" s="38" t="s">
        <v>321</v>
      </c>
      <c r="N91" s="41" t="s">
        <v>151</v>
      </c>
      <c r="O91" s="41" t="s">
        <v>151</v>
      </c>
      <c r="P91" s="41" t="s">
        <v>151</v>
      </c>
      <c r="Q91" s="41" t="s">
        <v>151</v>
      </c>
    </row>
    <row r="92" s="40" customFormat="true" ht="15" hidden="false" customHeight="false" outlineLevel="0" collapsed="false">
      <c r="A92" s="39" t="s">
        <v>322</v>
      </c>
      <c r="B92" s="38" t="s">
        <v>323</v>
      </c>
      <c r="C92" s="39" t="s">
        <v>141</v>
      </c>
      <c r="D92" s="39" t="s">
        <v>142</v>
      </c>
      <c r="E92" s="39" t="s">
        <v>143</v>
      </c>
      <c r="F92" s="39" t="s">
        <v>144</v>
      </c>
      <c r="G92" s="39" t="s">
        <v>145</v>
      </c>
      <c r="H92" s="39" t="s">
        <v>146</v>
      </c>
      <c r="I92" s="39" t="s">
        <v>147</v>
      </c>
      <c r="J92" s="39" t="s">
        <v>148</v>
      </c>
      <c r="K92" s="39" t="s">
        <v>149</v>
      </c>
      <c r="L92" s="40" t="s">
        <v>150</v>
      </c>
      <c r="M92" s="38" t="s">
        <v>323</v>
      </c>
      <c r="N92" s="41" t="s">
        <v>151</v>
      </c>
      <c r="O92" s="41" t="s">
        <v>151</v>
      </c>
      <c r="P92" s="41" t="s">
        <v>151</v>
      </c>
      <c r="Q92" s="41" t="s">
        <v>151</v>
      </c>
    </row>
    <row r="93" s="40" customFormat="true" ht="15" hidden="false" customHeight="false" outlineLevel="0" collapsed="false">
      <c r="A93" s="39" t="s">
        <v>324</v>
      </c>
      <c r="B93" s="38" t="s">
        <v>325</v>
      </c>
      <c r="C93" s="39" t="s">
        <v>141</v>
      </c>
      <c r="D93" s="39" t="s">
        <v>142</v>
      </c>
      <c r="E93" s="39" t="s">
        <v>143</v>
      </c>
      <c r="F93" s="39" t="s">
        <v>144</v>
      </c>
      <c r="G93" s="39" t="s">
        <v>145</v>
      </c>
      <c r="H93" s="39" t="s">
        <v>146</v>
      </c>
      <c r="I93" s="39" t="s">
        <v>147</v>
      </c>
      <c r="J93" s="39" t="s">
        <v>148</v>
      </c>
      <c r="K93" s="39" t="s">
        <v>149</v>
      </c>
      <c r="L93" s="40" t="s">
        <v>150</v>
      </c>
      <c r="M93" s="38" t="s">
        <v>325</v>
      </c>
      <c r="N93" s="41" t="s">
        <v>151</v>
      </c>
      <c r="O93" s="41" t="s">
        <v>151</v>
      </c>
      <c r="P93" s="41" t="s">
        <v>151</v>
      </c>
      <c r="Q93" s="41" t="s">
        <v>151</v>
      </c>
    </row>
    <row r="94" s="40" customFormat="true" ht="15" hidden="false" customHeight="false" outlineLevel="0" collapsed="false">
      <c r="A94" s="39" t="s">
        <v>326</v>
      </c>
      <c r="B94" s="38" t="s">
        <v>327</v>
      </c>
      <c r="C94" s="39" t="s">
        <v>141</v>
      </c>
      <c r="D94" s="39" t="s">
        <v>142</v>
      </c>
      <c r="E94" s="39" t="s">
        <v>143</v>
      </c>
      <c r="F94" s="39" t="s">
        <v>144</v>
      </c>
      <c r="G94" s="39" t="s">
        <v>145</v>
      </c>
      <c r="H94" s="39" t="s">
        <v>146</v>
      </c>
      <c r="I94" s="39" t="s">
        <v>147</v>
      </c>
      <c r="J94" s="39" t="s">
        <v>148</v>
      </c>
      <c r="K94" s="39" t="s">
        <v>149</v>
      </c>
      <c r="L94" s="40" t="s">
        <v>150</v>
      </c>
      <c r="M94" s="38" t="s">
        <v>327</v>
      </c>
      <c r="N94" s="41" t="s">
        <v>151</v>
      </c>
      <c r="O94" s="41" t="s">
        <v>151</v>
      </c>
      <c r="P94" s="41" t="s">
        <v>151</v>
      </c>
      <c r="Q94" s="41" t="s">
        <v>151</v>
      </c>
    </row>
    <row r="95" s="40" customFormat="true" ht="15" hidden="false" customHeight="false" outlineLevel="0" collapsed="false">
      <c r="A95" s="39" t="s">
        <v>328</v>
      </c>
      <c r="B95" s="42" t="s">
        <v>329</v>
      </c>
      <c r="C95" s="39" t="s">
        <v>141</v>
      </c>
      <c r="D95" s="39" t="s">
        <v>142</v>
      </c>
      <c r="E95" s="39" t="s">
        <v>143</v>
      </c>
      <c r="F95" s="39" t="s">
        <v>144</v>
      </c>
      <c r="G95" s="39" t="s">
        <v>145</v>
      </c>
      <c r="H95" s="39" t="s">
        <v>146</v>
      </c>
      <c r="I95" s="39" t="s">
        <v>147</v>
      </c>
      <c r="J95" s="39" t="s">
        <v>148</v>
      </c>
      <c r="K95" s="39" t="s">
        <v>149</v>
      </c>
      <c r="L95" s="40" t="s">
        <v>150</v>
      </c>
      <c r="M95" s="42" t="s">
        <v>329</v>
      </c>
      <c r="N95" s="41" t="s">
        <v>151</v>
      </c>
      <c r="O95" s="41" t="s">
        <v>151</v>
      </c>
      <c r="P95" s="41" t="s">
        <v>151</v>
      </c>
      <c r="Q95" s="41" t="s">
        <v>151</v>
      </c>
    </row>
    <row r="96" s="40" customFormat="true" ht="15" hidden="false" customHeight="false" outlineLevel="0" collapsed="false">
      <c r="A96" s="39" t="s">
        <v>330</v>
      </c>
      <c r="B96" s="38" t="s">
        <v>331</v>
      </c>
      <c r="C96" s="39" t="s">
        <v>141</v>
      </c>
      <c r="D96" s="39" t="s">
        <v>142</v>
      </c>
      <c r="E96" s="39" t="s">
        <v>143</v>
      </c>
      <c r="F96" s="39" t="s">
        <v>144</v>
      </c>
      <c r="G96" s="39" t="s">
        <v>145</v>
      </c>
      <c r="H96" s="39" t="s">
        <v>146</v>
      </c>
      <c r="I96" s="39" t="s">
        <v>147</v>
      </c>
      <c r="J96" s="39" t="s">
        <v>148</v>
      </c>
      <c r="K96" s="39" t="s">
        <v>149</v>
      </c>
      <c r="L96" s="40" t="s">
        <v>150</v>
      </c>
      <c r="M96" s="38" t="s">
        <v>331</v>
      </c>
      <c r="N96" s="41" t="s">
        <v>151</v>
      </c>
      <c r="O96" s="41" t="s">
        <v>151</v>
      </c>
      <c r="P96" s="41" t="s">
        <v>151</v>
      </c>
      <c r="Q96" s="41" t="s">
        <v>151</v>
      </c>
    </row>
    <row r="97" s="40" customFormat="true" ht="15" hidden="false" customHeight="false" outlineLevel="0" collapsed="false">
      <c r="A97" s="39" t="s">
        <v>332</v>
      </c>
      <c r="B97" s="38" t="s">
        <v>333</v>
      </c>
      <c r="C97" s="39" t="s">
        <v>141</v>
      </c>
      <c r="D97" s="39" t="s">
        <v>142</v>
      </c>
      <c r="E97" s="39" t="s">
        <v>143</v>
      </c>
      <c r="F97" s="39" t="s">
        <v>144</v>
      </c>
      <c r="G97" s="39" t="s">
        <v>145</v>
      </c>
      <c r="H97" s="39" t="s">
        <v>146</v>
      </c>
      <c r="I97" s="39" t="s">
        <v>147</v>
      </c>
      <c r="J97" s="39" t="s">
        <v>148</v>
      </c>
      <c r="K97" s="39" t="s">
        <v>149</v>
      </c>
      <c r="L97" s="40" t="s">
        <v>150</v>
      </c>
      <c r="M97" s="38" t="s">
        <v>333</v>
      </c>
      <c r="N97" s="41" t="s">
        <v>151</v>
      </c>
      <c r="O97" s="41" t="s">
        <v>151</v>
      </c>
      <c r="P97" s="41" t="s">
        <v>151</v>
      </c>
      <c r="Q97" s="41" t="s">
        <v>151</v>
      </c>
    </row>
    <row r="98" s="40" customFormat="true" ht="15" hidden="false" customHeight="false" outlineLevel="0" collapsed="false">
      <c r="A98" s="39" t="s">
        <v>334</v>
      </c>
      <c r="B98" s="38" t="s">
        <v>335</v>
      </c>
      <c r="C98" s="39" t="s">
        <v>141</v>
      </c>
      <c r="D98" s="39" t="s">
        <v>142</v>
      </c>
      <c r="E98" s="39" t="s">
        <v>143</v>
      </c>
      <c r="F98" s="39" t="s">
        <v>144</v>
      </c>
      <c r="G98" s="39" t="s">
        <v>145</v>
      </c>
      <c r="H98" s="39" t="s">
        <v>146</v>
      </c>
      <c r="I98" s="39" t="s">
        <v>147</v>
      </c>
      <c r="J98" s="39" t="s">
        <v>148</v>
      </c>
      <c r="K98" s="39" t="s">
        <v>149</v>
      </c>
      <c r="L98" s="40" t="s">
        <v>150</v>
      </c>
      <c r="M98" s="38" t="s">
        <v>335</v>
      </c>
      <c r="N98" s="41" t="s">
        <v>151</v>
      </c>
      <c r="O98" s="41" t="s">
        <v>151</v>
      </c>
      <c r="P98" s="41" t="s">
        <v>151</v>
      </c>
      <c r="Q98" s="41" t="s">
        <v>151</v>
      </c>
    </row>
    <row r="99" s="40" customFormat="true" ht="15" hidden="false" customHeight="false" outlineLevel="0" collapsed="false">
      <c r="A99" s="39" t="s">
        <v>336</v>
      </c>
      <c r="B99" s="38" t="s">
        <v>337</v>
      </c>
      <c r="C99" s="39" t="s">
        <v>141</v>
      </c>
      <c r="D99" s="39" t="s">
        <v>142</v>
      </c>
      <c r="E99" s="39" t="s">
        <v>143</v>
      </c>
      <c r="F99" s="39" t="s">
        <v>144</v>
      </c>
      <c r="G99" s="39" t="s">
        <v>145</v>
      </c>
      <c r="H99" s="39" t="s">
        <v>146</v>
      </c>
      <c r="I99" s="39" t="s">
        <v>147</v>
      </c>
      <c r="J99" s="39" t="s">
        <v>148</v>
      </c>
      <c r="K99" s="39" t="s">
        <v>149</v>
      </c>
      <c r="L99" s="40" t="s">
        <v>150</v>
      </c>
      <c r="M99" s="38" t="s">
        <v>337</v>
      </c>
      <c r="N99" s="41" t="s">
        <v>151</v>
      </c>
      <c r="O99" s="41" t="s">
        <v>151</v>
      </c>
      <c r="P99" s="41" t="s">
        <v>151</v>
      </c>
      <c r="Q99" s="41" t="s">
        <v>151</v>
      </c>
    </row>
    <row r="100" s="40" customFormat="true" ht="15" hidden="false" customHeight="false" outlineLevel="0" collapsed="false">
      <c r="A100" s="39" t="s">
        <v>338</v>
      </c>
      <c r="B100" s="39" t="s">
        <v>339</v>
      </c>
      <c r="C100" s="39" t="s">
        <v>141</v>
      </c>
      <c r="D100" s="39" t="s">
        <v>142</v>
      </c>
      <c r="E100" s="39" t="s">
        <v>143</v>
      </c>
      <c r="F100" s="39" t="s">
        <v>144</v>
      </c>
      <c r="G100" s="39" t="s">
        <v>145</v>
      </c>
      <c r="H100" s="39" t="s">
        <v>146</v>
      </c>
      <c r="I100" s="39" t="s">
        <v>147</v>
      </c>
      <c r="J100" s="39" t="s">
        <v>148</v>
      </c>
      <c r="K100" s="39" t="s">
        <v>149</v>
      </c>
      <c r="L100" s="40" t="s">
        <v>150</v>
      </c>
      <c r="M100" s="39" t="s">
        <v>339</v>
      </c>
      <c r="N100" s="41" t="s">
        <v>151</v>
      </c>
      <c r="O100" s="41" t="s">
        <v>151</v>
      </c>
      <c r="P100" s="41" t="s">
        <v>151</v>
      </c>
      <c r="Q100" s="41" t="s">
        <v>151</v>
      </c>
    </row>
    <row r="101" s="40" customFormat="true" ht="15" hidden="false" customHeight="false" outlineLevel="0" collapsed="false">
      <c r="A101" s="39" t="s">
        <v>340</v>
      </c>
      <c r="B101" s="38" t="s">
        <v>341</v>
      </c>
      <c r="C101" s="39" t="s">
        <v>141</v>
      </c>
      <c r="D101" s="39" t="s">
        <v>142</v>
      </c>
      <c r="E101" s="39" t="s">
        <v>143</v>
      </c>
      <c r="F101" s="39" t="s">
        <v>144</v>
      </c>
      <c r="G101" s="39" t="s">
        <v>145</v>
      </c>
      <c r="H101" s="39" t="s">
        <v>146</v>
      </c>
      <c r="I101" s="39" t="s">
        <v>147</v>
      </c>
      <c r="J101" s="39" t="s">
        <v>148</v>
      </c>
      <c r="K101" s="39" t="s">
        <v>149</v>
      </c>
      <c r="L101" s="40" t="s">
        <v>150</v>
      </c>
      <c r="M101" s="38" t="s">
        <v>341</v>
      </c>
      <c r="N101" s="41" t="s">
        <v>151</v>
      </c>
      <c r="O101" s="41" t="s">
        <v>151</v>
      </c>
      <c r="P101" s="41" t="s">
        <v>151</v>
      </c>
      <c r="Q101" s="41" t="s">
        <v>151</v>
      </c>
    </row>
    <row r="102" s="40" customFormat="true" ht="15" hidden="false" customHeight="false" outlineLevel="0" collapsed="false">
      <c r="A102" s="42" t="s">
        <v>342</v>
      </c>
      <c r="B102" s="38" t="s">
        <v>343</v>
      </c>
      <c r="C102" s="39" t="s">
        <v>141</v>
      </c>
      <c r="D102" s="39" t="s">
        <v>142</v>
      </c>
      <c r="E102" s="39" t="s">
        <v>143</v>
      </c>
      <c r="F102" s="39" t="s">
        <v>144</v>
      </c>
      <c r="G102" s="39" t="s">
        <v>145</v>
      </c>
      <c r="H102" s="39" t="s">
        <v>146</v>
      </c>
      <c r="I102" s="39" t="s">
        <v>147</v>
      </c>
      <c r="J102" s="39" t="s">
        <v>148</v>
      </c>
      <c r="K102" s="39" t="s">
        <v>149</v>
      </c>
      <c r="L102" s="40" t="s">
        <v>150</v>
      </c>
      <c r="M102" s="38" t="s">
        <v>343</v>
      </c>
      <c r="N102" s="41" t="s">
        <v>151</v>
      </c>
      <c r="O102" s="41" t="s">
        <v>151</v>
      </c>
      <c r="P102" s="41" t="s">
        <v>151</v>
      </c>
      <c r="Q102" s="41" t="s">
        <v>151</v>
      </c>
    </row>
    <row r="103" s="40" customFormat="true" ht="15" hidden="false" customHeight="false" outlineLevel="0" collapsed="false">
      <c r="A103" s="39" t="s">
        <v>344</v>
      </c>
      <c r="B103" s="38" t="s">
        <v>345</v>
      </c>
      <c r="C103" s="39" t="s">
        <v>141</v>
      </c>
      <c r="D103" s="39" t="s">
        <v>142</v>
      </c>
      <c r="E103" s="39" t="s">
        <v>143</v>
      </c>
      <c r="F103" s="39" t="s">
        <v>144</v>
      </c>
      <c r="G103" s="39" t="s">
        <v>145</v>
      </c>
      <c r="H103" s="39" t="s">
        <v>146</v>
      </c>
      <c r="I103" s="39" t="s">
        <v>147</v>
      </c>
      <c r="J103" s="39" t="s">
        <v>148</v>
      </c>
      <c r="K103" s="39" t="s">
        <v>149</v>
      </c>
      <c r="L103" s="40" t="s">
        <v>150</v>
      </c>
      <c r="M103" s="38" t="s">
        <v>345</v>
      </c>
      <c r="N103" s="41" t="s">
        <v>151</v>
      </c>
      <c r="O103" s="41" t="s">
        <v>151</v>
      </c>
      <c r="P103" s="41" t="s">
        <v>151</v>
      </c>
      <c r="Q103" s="41" t="s">
        <v>151</v>
      </c>
    </row>
    <row r="104" s="40" customFormat="true" ht="15" hidden="false" customHeight="false" outlineLevel="0" collapsed="false">
      <c r="A104" s="39" t="s">
        <v>346</v>
      </c>
      <c r="B104" s="38" t="s">
        <v>179</v>
      </c>
      <c r="C104" s="39" t="s">
        <v>141</v>
      </c>
      <c r="D104" s="39" t="s">
        <v>142</v>
      </c>
      <c r="E104" s="39" t="s">
        <v>143</v>
      </c>
      <c r="F104" s="39" t="s">
        <v>144</v>
      </c>
      <c r="G104" s="39" t="s">
        <v>145</v>
      </c>
      <c r="H104" s="39" t="s">
        <v>146</v>
      </c>
      <c r="I104" s="39" t="s">
        <v>147</v>
      </c>
      <c r="J104" s="39" t="s">
        <v>148</v>
      </c>
      <c r="K104" s="39" t="s">
        <v>149</v>
      </c>
      <c r="L104" s="40" t="s">
        <v>150</v>
      </c>
      <c r="M104" s="38" t="s">
        <v>179</v>
      </c>
      <c r="N104" s="41" t="s">
        <v>151</v>
      </c>
      <c r="O104" s="41" t="s">
        <v>151</v>
      </c>
      <c r="P104" s="41" t="s">
        <v>151</v>
      </c>
      <c r="Q104" s="41" t="s">
        <v>151</v>
      </c>
    </row>
    <row r="105" s="40" customFormat="true" ht="15" hidden="false" customHeight="false" outlineLevel="0" collapsed="false">
      <c r="A105" s="39" t="s">
        <v>347</v>
      </c>
      <c r="B105" s="38" t="s">
        <v>348</v>
      </c>
      <c r="C105" s="39" t="s">
        <v>141</v>
      </c>
      <c r="D105" s="39" t="s">
        <v>142</v>
      </c>
      <c r="E105" s="39" t="s">
        <v>143</v>
      </c>
      <c r="F105" s="39" t="s">
        <v>144</v>
      </c>
      <c r="G105" s="39" t="s">
        <v>145</v>
      </c>
      <c r="H105" s="39" t="s">
        <v>146</v>
      </c>
      <c r="I105" s="39" t="s">
        <v>147</v>
      </c>
      <c r="J105" s="39" t="s">
        <v>148</v>
      </c>
      <c r="K105" s="39" t="s">
        <v>149</v>
      </c>
      <c r="L105" s="40" t="s">
        <v>150</v>
      </c>
      <c r="M105" s="38" t="s">
        <v>348</v>
      </c>
      <c r="N105" s="41" t="s">
        <v>151</v>
      </c>
      <c r="O105" s="41" t="s">
        <v>151</v>
      </c>
      <c r="P105" s="41" t="s">
        <v>151</v>
      </c>
      <c r="Q105" s="41" t="s">
        <v>151</v>
      </c>
    </row>
    <row r="106" s="40" customFormat="true" ht="15" hidden="false" customHeight="false" outlineLevel="0" collapsed="false">
      <c r="A106" s="39" t="s">
        <v>349</v>
      </c>
      <c r="B106" s="38" t="s">
        <v>350</v>
      </c>
      <c r="C106" s="39" t="s">
        <v>141</v>
      </c>
      <c r="D106" s="39" t="s">
        <v>142</v>
      </c>
      <c r="E106" s="39" t="s">
        <v>143</v>
      </c>
      <c r="F106" s="39" t="s">
        <v>144</v>
      </c>
      <c r="G106" s="39" t="s">
        <v>145</v>
      </c>
      <c r="H106" s="39" t="s">
        <v>146</v>
      </c>
      <c r="I106" s="39" t="s">
        <v>147</v>
      </c>
      <c r="J106" s="39" t="s">
        <v>148</v>
      </c>
      <c r="K106" s="39" t="s">
        <v>149</v>
      </c>
      <c r="L106" s="40" t="s">
        <v>150</v>
      </c>
      <c r="M106" s="38" t="s">
        <v>350</v>
      </c>
      <c r="N106" s="41" t="s">
        <v>151</v>
      </c>
      <c r="O106" s="41" t="s">
        <v>151</v>
      </c>
      <c r="P106" s="41" t="s">
        <v>151</v>
      </c>
      <c r="Q106" s="41" t="s">
        <v>151</v>
      </c>
    </row>
    <row r="107" s="40" customFormat="true" ht="15" hidden="false" customHeight="false" outlineLevel="0" collapsed="false">
      <c r="A107" s="43" t="s">
        <v>351</v>
      </c>
      <c r="B107" s="43" t="s">
        <v>352</v>
      </c>
      <c r="C107" s="39" t="s">
        <v>141</v>
      </c>
      <c r="D107" s="39" t="s">
        <v>142</v>
      </c>
      <c r="E107" s="39" t="s">
        <v>143</v>
      </c>
      <c r="F107" s="39" t="s">
        <v>144</v>
      </c>
      <c r="G107" s="39" t="s">
        <v>145</v>
      </c>
      <c r="H107" s="39" t="s">
        <v>146</v>
      </c>
      <c r="I107" s="39" t="s">
        <v>147</v>
      </c>
      <c r="J107" s="39" t="s">
        <v>148</v>
      </c>
      <c r="K107" s="39" t="s">
        <v>149</v>
      </c>
      <c r="L107" s="40" t="s">
        <v>150</v>
      </c>
      <c r="M107" s="43" t="s">
        <v>352</v>
      </c>
      <c r="N107" s="41" t="s">
        <v>151</v>
      </c>
      <c r="O107" s="41" t="s">
        <v>151</v>
      </c>
      <c r="P107" s="41" t="s">
        <v>151</v>
      </c>
      <c r="Q107" s="41" t="s">
        <v>151</v>
      </c>
    </row>
    <row r="108" s="40" customFormat="true" ht="15" hidden="false" customHeight="false" outlineLevel="0" collapsed="false">
      <c r="A108" s="43" t="s">
        <v>353</v>
      </c>
      <c r="B108" s="43" t="s">
        <v>354</v>
      </c>
      <c r="C108" s="39" t="s">
        <v>141</v>
      </c>
      <c r="D108" s="39" t="s">
        <v>142</v>
      </c>
      <c r="E108" s="39" t="s">
        <v>143</v>
      </c>
      <c r="F108" s="39" t="s">
        <v>144</v>
      </c>
      <c r="G108" s="39" t="s">
        <v>145</v>
      </c>
      <c r="H108" s="39" t="s">
        <v>146</v>
      </c>
      <c r="I108" s="39" t="s">
        <v>147</v>
      </c>
      <c r="J108" s="39" t="s">
        <v>148</v>
      </c>
      <c r="K108" s="39" t="s">
        <v>149</v>
      </c>
      <c r="L108" s="40" t="s">
        <v>150</v>
      </c>
      <c r="M108" s="43" t="s">
        <v>354</v>
      </c>
      <c r="N108" s="41" t="s">
        <v>151</v>
      </c>
      <c r="O108" s="41" t="s">
        <v>151</v>
      </c>
      <c r="P108" s="41" t="s">
        <v>151</v>
      </c>
      <c r="Q108" s="41" t="s">
        <v>151</v>
      </c>
    </row>
    <row r="109" s="40" customFormat="true" ht="15" hidden="false" customHeight="false" outlineLevel="0" collapsed="false">
      <c r="A109" s="43" t="s">
        <v>355</v>
      </c>
      <c r="B109" s="43" t="s">
        <v>356</v>
      </c>
      <c r="C109" s="39" t="s">
        <v>141</v>
      </c>
      <c r="D109" s="39" t="s">
        <v>142</v>
      </c>
      <c r="E109" s="39" t="s">
        <v>143</v>
      </c>
      <c r="F109" s="39" t="s">
        <v>144</v>
      </c>
      <c r="G109" s="39" t="s">
        <v>145</v>
      </c>
      <c r="H109" s="39" t="s">
        <v>146</v>
      </c>
      <c r="I109" s="39" t="s">
        <v>147</v>
      </c>
      <c r="J109" s="39" t="s">
        <v>148</v>
      </c>
      <c r="K109" s="39" t="s">
        <v>149</v>
      </c>
      <c r="L109" s="40" t="s">
        <v>150</v>
      </c>
      <c r="M109" s="43" t="s">
        <v>356</v>
      </c>
      <c r="N109" s="41" t="s">
        <v>151</v>
      </c>
      <c r="O109" s="41" t="s">
        <v>151</v>
      </c>
      <c r="P109" s="41" t="s">
        <v>151</v>
      </c>
      <c r="Q109" s="41" t="s">
        <v>151</v>
      </c>
    </row>
    <row r="110" s="40" customFormat="true" ht="15" hidden="false" customHeight="false" outlineLevel="0" collapsed="false">
      <c r="A110" s="43" t="s">
        <v>357</v>
      </c>
      <c r="B110" s="44" t="s">
        <v>358</v>
      </c>
      <c r="C110" s="39" t="s">
        <v>141</v>
      </c>
      <c r="D110" s="39" t="s">
        <v>142</v>
      </c>
      <c r="E110" s="39" t="s">
        <v>143</v>
      </c>
      <c r="F110" s="39" t="s">
        <v>144</v>
      </c>
      <c r="G110" s="39" t="s">
        <v>145</v>
      </c>
      <c r="H110" s="39" t="s">
        <v>146</v>
      </c>
      <c r="I110" s="39" t="s">
        <v>147</v>
      </c>
      <c r="J110" s="39" t="s">
        <v>148</v>
      </c>
      <c r="K110" s="39" t="s">
        <v>149</v>
      </c>
      <c r="L110" s="40" t="s">
        <v>150</v>
      </c>
      <c r="M110" s="44" t="s">
        <v>358</v>
      </c>
      <c r="N110" s="41" t="s">
        <v>151</v>
      </c>
      <c r="O110" s="41" t="s">
        <v>151</v>
      </c>
      <c r="P110" s="41" t="s">
        <v>151</v>
      </c>
      <c r="Q110" s="41" t="s">
        <v>151</v>
      </c>
    </row>
    <row r="111" s="40" customFormat="true" ht="15" hidden="false" customHeight="false" outlineLevel="0" collapsed="false">
      <c r="A111" s="43" t="s">
        <v>359</v>
      </c>
      <c r="B111" s="43" t="s">
        <v>360</v>
      </c>
      <c r="C111" s="39" t="s">
        <v>141</v>
      </c>
      <c r="D111" s="39" t="s">
        <v>142</v>
      </c>
      <c r="E111" s="39" t="s">
        <v>143</v>
      </c>
      <c r="F111" s="39" t="s">
        <v>144</v>
      </c>
      <c r="G111" s="39" t="s">
        <v>145</v>
      </c>
      <c r="H111" s="39" t="s">
        <v>146</v>
      </c>
      <c r="I111" s="39" t="s">
        <v>147</v>
      </c>
      <c r="J111" s="39" t="s">
        <v>148</v>
      </c>
      <c r="K111" s="39" t="s">
        <v>149</v>
      </c>
      <c r="L111" s="40" t="s">
        <v>150</v>
      </c>
      <c r="M111" s="43" t="s">
        <v>360</v>
      </c>
      <c r="N111" s="41" t="s">
        <v>151</v>
      </c>
      <c r="O111" s="41" t="s">
        <v>151</v>
      </c>
      <c r="P111" s="41" t="s">
        <v>151</v>
      </c>
      <c r="Q111" s="41" t="s">
        <v>151</v>
      </c>
    </row>
    <row r="112" s="40" customFormat="true" ht="15" hidden="false" customHeight="false" outlineLevel="0" collapsed="false">
      <c r="A112" s="43" t="s">
        <v>361</v>
      </c>
      <c r="B112" s="40" t="s">
        <v>362</v>
      </c>
      <c r="C112" s="39" t="s">
        <v>141</v>
      </c>
      <c r="D112" s="39" t="s">
        <v>142</v>
      </c>
      <c r="E112" s="39" t="s">
        <v>143</v>
      </c>
      <c r="F112" s="39" t="s">
        <v>144</v>
      </c>
      <c r="G112" s="39" t="s">
        <v>145</v>
      </c>
      <c r="H112" s="39" t="s">
        <v>146</v>
      </c>
      <c r="I112" s="39" t="s">
        <v>147</v>
      </c>
      <c r="J112" s="39" t="s">
        <v>148</v>
      </c>
      <c r="K112" s="39" t="s">
        <v>149</v>
      </c>
      <c r="L112" s="40" t="s">
        <v>150</v>
      </c>
      <c r="M112" s="40" t="s">
        <v>362</v>
      </c>
      <c r="N112" s="41" t="s">
        <v>151</v>
      </c>
      <c r="O112" s="41" t="s">
        <v>151</v>
      </c>
      <c r="P112" s="41" t="s">
        <v>151</v>
      </c>
      <c r="Q112" s="41" t="s">
        <v>151</v>
      </c>
    </row>
    <row r="113" s="40" customFormat="true" ht="15" hidden="false" customHeight="false" outlineLevel="0" collapsed="false">
      <c r="A113" s="43" t="s">
        <v>363</v>
      </c>
      <c r="B113" s="43" t="s">
        <v>364</v>
      </c>
      <c r="C113" s="39" t="s">
        <v>141</v>
      </c>
      <c r="D113" s="39" t="s">
        <v>142</v>
      </c>
      <c r="E113" s="39" t="s">
        <v>143</v>
      </c>
      <c r="F113" s="39" t="s">
        <v>144</v>
      </c>
      <c r="G113" s="39" t="s">
        <v>145</v>
      </c>
      <c r="H113" s="39" t="s">
        <v>146</v>
      </c>
      <c r="I113" s="39" t="s">
        <v>147</v>
      </c>
      <c r="J113" s="39" t="s">
        <v>148</v>
      </c>
      <c r="K113" s="39" t="s">
        <v>149</v>
      </c>
      <c r="L113" s="40" t="s">
        <v>150</v>
      </c>
      <c r="M113" s="43" t="s">
        <v>364</v>
      </c>
      <c r="N113" s="41" t="s">
        <v>151</v>
      </c>
      <c r="O113" s="41" t="s">
        <v>151</v>
      </c>
      <c r="P113" s="41" t="s">
        <v>151</v>
      </c>
      <c r="Q113" s="41" t="s">
        <v>151</v>
      </c>
    </row>
    <row r="114" customFormat="false" ht="15" hidden="false" customHeight="false" outlineLevel="0" collapsed="false">
      <c r="A114" s="31" t="s">
        <v>365</v>
      </c>
      <c r="B114" s="31" t="s">
        <v>366</v>
      </c>
      <c r="D114" s="31" t="s">
        <v>367</v>
      </c>
      <c r="E114" s="31" t="s">
        <v>368</v>
      </c>
      <c r="G114" s="31" t="s">
        <v>369</v>
      </c>
      <c r="H114" s="31" t="s">
        <v>146</v>
      </c>
      <c r="I114" s="31" t="s">
        <v>147</v>
      </c>
      <c r="J114" s="31" t="s">
        <v>370</v>
      </c>
      <c r="K114" s="39" t="s">
        <v>149</v>
      </c>
      <c r="L114" s="40" t="s">
        <v>150</v>
      </c>
      <c r="M114" s="43" t="s">
        <v>364</v>
      </c>
      <c r="N114" s="41" t="s">
        <v>151</v>
      </c>
      <c r="O114" s="41" t="s">
        <v>151</v>
      </c>
      <c r="P114" s="41" t="s">
        <v>151</v>
      </c>
      <c r="Q114" s="41" t="s">
        <v>151</v>
      </c>
    </row>
  </sheetData>
  <autoFilter ref="A1:XEX113">
    <sortState ref="A2:XEX113">
      <sortCondition ref="A2:A113"/>
    </sortState>
  </autoFilter>
  <dataValidations count="1">
    <dataValidation allowBlank="true" error="Este campo tem o limite de 12 caracteres" errorStyle="stop" errorTitle="Limite de caracteres" operator="between" showDropDown="false" showErrorMessage="true" showInputMessage="true" sqref="B107 M107 A108 B109:B110 M109:M110 A111 B112 M112" type="none">
      <formula1>0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9.1484375" defaultRowHeight="15" customHeight="false" zeroHeight="false" outlineLevelRow="0" outlineLevelCol="0"/>
  <cols>
    <col collapsed="false" customWidth="true" hidden="false" outlineLevel="0" max="1" min="1" style="45" width="43.57"/>
    <col collapsed="false" customWidth="true" hidden="false" outlineLevel="0" max="2" min="2" style="45" width="68.14"/>
    <col collapsed="false" customWidth="true" hidden="false" outlineLevel="0" max="3" min="3" style="45" width="45.29"/>
    <col collapsed="false" customWidth="false" hidden="false" outlineLevel="0" max="16384" min="4" style="35" width="9.14"/>
  </cols>
  <sheetData>
    <row r="1" customFormat="false" ht="90" hidden="false" customHeight="true" outlineLevel="0" collapsed="false">
      <c r="A1" s="33" t="s">
        <v>371</v>
      </c>
      <c r="B1" s="33" t="s">
        <v>372</v>
      </c>
      <c r="C1" s="33" t="s">
        <v>373</v>
      </c>
    </row>
    <row r="2" customFormat="false" ht="15" hidden="false" customHeight="false" outlineLevel="0" collapsed="false">
      <c r="A2" s="45" t="s">
        <v>374</v>
      </c>
      <c r="B2" s="46" t="s">
        <v>375</v>
      </c>
      <c r="C2" s="45" t="s">
        <v>149</v>
      </c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FD332"/>
  <sheetViews>
    <sheetView showFormulas="false" showGridLines="true" showRowColHeaders="true" showZeros="true" rightToLeft="false" tabSelected="true" showOutlineSymbols="true" defaultGridColor="true" view="normal" topLeftCell="A304" colorId="64" zoomScale="85" zoomScaleNormal="85" zoomScalePageLayoutView="100" workbookViewId="0">
      <selection pane="topLeft" activeCell="D336" activeCellId="0" sqref="D336"/>
    </sheetView>
  </sheetViews>
  <sheetFormatPr defaultColWidth="9.1484375" defaultRowHeight="12.8" customHeight="true" zeroHeight="false" outlineLevelRow="0" outlineLevelCol="0"/>
  <cols>
    <col collapsed="false" customWidth="true" hidden="false" outlineLevel="0" max="1" min="1" style="31" width="18.57"/>
    <col collapsed="false" customWidth="true" hidden="false" outlineLevel="0" max="2" min="2" style="31" width="17.29"/>
    <col collapsed="false" customWidth="true" hidden="false" outlineLevel="0" max="3" min="3" style="31" width="10.57"/>
    <col collapsed="false" customWidth="true" hidden="false" outlineLevel="0" max="4" min="4" style="31" width="59.57"/>
    <col collapsed="false" customWidth="true" hidden="false" outlineLevel="0" max="5" min="5" style="31" width="41.57"/>
    <col collapsed="false" customWidth="true" hidden="false" outlineLevel="0" max="6" min="6" style="31" width="9.86"/>
    <col collapsed="false" customWidth="true" hidden="false" outlineLevel="0" max="7" min="7" style="47" width="16.57"/>
    <col collapsed="false" customWidth="true" hidden="false" outlineLevel="0" max="8" min="8" style="31" width="1.85"/>
    <col collapsed="false" customWidth="true" hidden="false" outlineLevel="0" max="9" min="9" style="31" width="3.71"/>
    <col collapsed="false" customWidth="true" hidden="false" outlineLevel="0" max="19" min="10" style="48" width="0.57"/>
    <col collapsed="false" customWidth="true" hidden="false" outlineLevel="0" max="20" min="20" style="48" width="7.29"/>
    <col collapsed="false" customWidth="true" hidden="false" outlineLevel="0" max="21" min="21" style="49" width="17.71"/>
    <col collapsed="false" customWidth="true" hidden="false" outlineLevel="0" max="22" min="22" style="49" width="4"/>
    <col collapsed="false" customWidth="true" hidden="false" outlineLevel="0" max="23" min="23" style="49" width="6.29"/>
    <col collapsed="false" customWidth="true" hidden="false" outlineLevel="0" max="24" min="24" style="49" width="10.57"/>
    <col collapsed="false" customWidth="true" hidden="false" outlineLevel="0" max="25" min="25" style="49" width="3.57"/>
    <col collapsed="false" customWidth="true" hidden="false" outlineLevel="0" max="26" min="26" style="49" width="14.29"/>
    <col collapsed="false" customWidth="true" hidden="false" outlineLevel="0" max="27" min="27" style="48" width="12.86"/>
    <col collapsed="false" customWidth="false" hidden="false" outlineLevel="0" max="16384" min="28" style="32" width="9.14"/>
  </cols>
  <sheetData>
    <row r="1" s="54" customFormat="true" ht="26.25" hidden="false" customHeight="true" outlineLevel="0" collapsed="false">
      <c r="A1" s="33" t="s">
        <v>376</v>
      </c>
      <c r="B1" s="33" t="s">
        <v>377</v>
      </c>
      <c r="C1" s="33" t="s">
        <v>378</v>
      </c>
      <c r="D1" s="33" t="s">
        <v>379</v>
      </c>
      <c r="E1" s="33" t="s">
        <v>380</v>
      </c>
      <c r="F1" s="33" t="s">
        <v>381</v>
      </c>
      <c r="G1" s="33" t="s">
        <v>382</v>
      </c>
      <c r="H1" s="33" t="s">
        <v>383</v>
      </c>
      <c r="I1" s="33" t="s">
        <v>384</v>
      </c>
      <c r="J1" s="50"/>
      <c r="K1" s="51" t="s">
        <v>385</v>
      </c>
      <c r="L1" s="51"/>
      <c r="M1" s="51"/>
      <c r="N1" s="51"/>
      <c r="O1" s="51"/>
      <c r="P1" s="51"/>
      <c r="Q1" s="51"/>
      <c r="R1" s="51"/>
      <c r="S1" s="52"/>
      <c r="T1" s="53" t="s">
        <v>386</v>
      </c>
      <c r="U1" s="53"/>
      <c r="V1" s="53"/>
      <c r="W1" s="53"/>
      <c r="X1" s="53"/>
      <c r="Y1" s="53"/>
      <c r="Z1" s="53"/>
      <c r="AA1" s="53"/>
      <c r="AB1" s="31"/>
      <c r="AC1" s="31"/>
      <c r="AD1" s="32"/>
      <c r="AE1" s="32"/>
      <c r="AF1" s="32"/>
      <c r="AG1" s="32"/>
      <c r="AH1" s="32"/>
      <c r="AI1" s="32"/>
      <c r="AJ1" s="32"/>
      <c r="AK1" s="32"/>
      <c r="AL1" s="32"/>
    </row>
    <row r="2" s="35" customFormat="true" ht="59.25" hidden="false" customHeight="true" outlineLevel="0" collapsed="false">
      <c r="A2" s="33"/>
      <c r="B2" s="33"/>
      <c r="C2" s="33"/>
      <c r="D2" s="33"/>
      <c r="E2" s="33"/>
      <c r="F2" s="33"/>
      <c r="G2" s="33"/>
      <c r="H2" s="33"/>
      <c r="I2" s="33"/>
      <c r="J2" s="55" t="s">
        <v>387</v>
      </c>
      <c r="K2" s="56" t="s">
        <v>388</v>
      </c>
      <c r="L2" s="56" t="s">
        <v>389</v>
      </c>
      <c r="M2" s="56" t="s">
        <v>390</v>
      </c>
      <c r="N2" s="56" t="s">
        <v>391</v>
      </c>
      <c r="O2" s="56" t="s">
        <v>392</v>
      </c>
      <c r="P2" s="56" t="s">
        <v>393</v>
      </c>
      <c r="Q2" s="56" t="s">
        <v>394</v>
      </c>
      <c r="R2" s="56" t="s">
        <v>395</v>
      </c>
      <c r="S2" s="57" t="s">
        <v>396</v>
      </c>
      <c r="T2" s="58" t="s">
        <v>397</v>
      </c>
      <c r="U2" s="58" t="s">
        <v>398</v>
      </c>
      <c r="V2" s="58" t="s">
        <v>399</v>
      </c>
      <c r="W2" s="58" t="s">
        <v>400</v>
      </c>
      <c r="X2" s="58" t="s">
        <v>401</v>
      </c>
      <c r="Y2" s="58" t="s">
        <v>402</v>
      </c>
      <c r="Z2" s="58" t="s">
        <v>403</v>
      </c>
      <c r="AA2" s="58" t="s">
        <v>404</v>
      </c>
    </row>
    <row r="3" s="40" customFormat="true" ht="18.75" hidden="false" customHeight="true" outlineLevel="0" collapsed="false">
      <c r="A3" s="42" t="s">
        <v>405</v>
      </c>
      <c r="B3" s="39" t="s">
        <v>220</v>
      </c>
      <c r="C3" s="42"/>
      <c r="D3" s="38" t="s">
        <v>221</v>
      </c>
      <c r="E3" s="38" t="s">
        <v>406</v>
      </c>
      <c r="F3" s="38"/>
      <c r="G3" s="59" t="n">
        <v>23364</v>
      </c>
      <c r="H3" s="39"/>
      <c r="I3" s="39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1" t="n">
        <v>608.12</v>
      </c>
      <c r="V3" s="62"/>
      <c r="W3" s="62"/>
      <c r="X3" s="62"/>
      <c r="Y3" s="62"/>
      <c r="Z3" s="62"/>
      <c r="AA3" s="60"/>
    </row>
    <row r="4" s="40" customFormat="true" ht="18.75" hidden="false" customHeight="true" outlineLevel="0" collapsed="false">
      <c r="A4" s="42" t="s">
        <v>407</v>
      </c>
      <c r="B4" s="39" t="s">
        <v>220</v>
      </c>
      <c r="C4" s="42"/>
      <c r="D4" s="38" t="s">
        <v>221</v>
      </c>
      <c r="E4" s="38" t="s">
        <v>408</v>
      </c>
      <c r="F4" s="38"/>
      <c r="G4" s="59" t="n">
        <v>25951</v>
      </c>
      <c r="H4" s="39"/>
      <c r="I4" s="39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1" t="n">
        <v>608.12</v>
      </c>
      <c r="V4" s="62"/>
      <c r="W4" s="62"/>
      <c r="X4" s="62"/>
      <c r="Y4" s="62"/>
      <c r="Z4" s="62"/>
      <c r="AA4" s="60"/>
    </row>
    <row r="5" s="40" customFormat="true" ht="18.75" hidden="false" customHeight="true" outlineLevel="0" collapsed="false">
      <c r="A5" s="42" t="s">
        <v>409</v>
      </c>
      <c r="B5" s="39" t="s">
        <v>220</v>
      </c>
      <c r="C5" s="42"/>
      <c r="D5" s="38" t="s">
        <v>221</v>
      </c>
      <c r="E5" s="38" t="s">
        <v>410</v>
      </c>
      <c r="F5" s="38"/>
      <c r="G5" s="59" t="n">
        <v>33008</v>
      </c>
      <c r="H5" s="39"/>
      <c r="I5" s="39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1" t="n">
        <v>608.12</v>
      </c>
      <c r="V5" s="62"/>
      <c r="W5" s="62"/>
      <c r="X5" s="62"/>
      <c r="Y5" s="62"/>
      <c r="Z5" s="62"/>
      <c r="AA5" s="60"/>
    </row>
    <row r="6" s="40" customFormat="true" ht="18.75" hidden="false" customHeight="true" outlineLevel="0" collapsed="false">
      <c r="A6" s="42" t="s">
        <v>411</v>
      </c>
      <c r="B6" s="39" t="s">
        <v>220</v>
      </c>
      <c r="C6" s="42"/>
      <c r="D6" s="38" t="s">
        <v>221</v>
      </c>
      <c r="E6" s="38" t="s">
        <v>412</v>
      </c>
      <c r="F6" s="38"/>
      <c r="G6" s="59" t="n">
        <v>34169</v>
      </c>
      <c r="H6" s="39"/>
      <c r="I6" s="39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 t="n">
        <v>608.12</v>
      </c>
      <c r="V6" s="62"/>
      <c r="W6" s="62"/>
      <c r="X6" s="62"/>
      <c r="Y6" s="62"/>
      <c r="Z6" s="62"/>
      <c r="AA6" s="60"/>
    </row>
    <row r="7" s="40" customFormat="true" ht="18.75" hidden="false" customHeight="true" outlineLevel="0" collapsed="false">
      <c r="A7" s="42" t="s">
        <v>413</v>
      </c>
      <c r="B7" s="39" t="s">
        <v>220</v>
      </c>
      <c r="C7" s="42"/>
      <c r="D7" s="38" t="s">
        <v>221</v>
      </c>
      <c r="E7" s="38" t="s">
        <v>414</v>
      </c>
      <c r="F7" s="38"/>
      <c r="G7" s="59" t="n">
        <v>27519</v>
      </c>
      <c r="H7" s="39"/>
      <c r="I7" s="39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1" t="n">
        <v>608.12</v>
      </c>
      <c r="V7" s="62"/>
      <c r="W7" s="62"/>
      <c r="X7" s="62"/>
      <c r="Y7" s="62"/>
      <c r="Z7" s="62"/>
      <c r="AA7" s="60"/>
    </row>
    <row r="8" s="40" customFormat="true" ht="18.75" hidden="false" customHeight="true" outlineLevel="0" collapsed="false">
      <c r="A8" s="42" t="s">
        <v>415</v>
      </c>
      <c r="B8" s="39" t="s">
        <v>220</v>
      </c>
      <c r="C8" s="42"/>
      <c r="D8" s="38" t="s">
        <v>221</v>
      </c>
      <c r="E8" s="38" t="s">
        <v>416</v>
      </c>
      <c r="F8" s="39"/>
      <c r="G8" s="59" t="n">
        <v>33103</v>
      </c>
      <c r="H8" s="39"/>
      <c r="I8" s="39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2" t="n">
        <v>1216.24</v>
      </c>
      <c r="V8" s="62"/>
      <c r="W8" s="62"/>
      <c r="X8" s="62"/>
      <c r="Y8" s="62"/>
      <c r="Z8" s="62"/>
      <c r="AA8" s="60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O8" s="63"/>
      <c r="BQ8" s="63"/>
      <c r="BS8" s="63"/>
    </row>
    <row r="9" s="40" customFormat="true" ht="18.75" hidden="false" customHeight="true" outlineLevel="0" collapsed="false">
      <c r="A9" s="42" t="s">
        <v>417</v>
      </c>
      <c r="B9" s="37" t="n">
        <v>71552947000153</v>
      </c>
      <c r="C9" s="42"/>
      <c r="D9" s="38" t="s">
        <v>159</v>
      </c>
      <c r="E9" s="38" t="s">
        <v>418</v>
      </c>
      <c r="F9" s="39"/>
      <c r="G9" s="59" t="n">
        <v>29790</v>
      </c>
      <c r="H9" s="39"/>
      <c r="I9" s="39"/>
      <c r="J9" s="60"/>
      <c r="K9" s="64"/>
      <c r="L9" s="60"/>
      <c r="M9" s="60"/>
      <c r="N9" s="60"/>
      <c r="O9" s="60"/>
      <c r="P9" s="60"/>
      <c r="Q9" s="60"/>
      <c r="R9" s="60"/>
      <c r="S9" s="60"/>
      <c r="T9" s="60"/>
      <c r="U9" s="61" t="n">
        <v>608.12</v>
      </c>
      <c r="V9" s="62"/>
      <c r="W9" s="62"/>
      <c r="X9" s="62"/>
      <c r="Y9" s="62"/>
      <c r="Z9" s="62"/>
      <c r="AA9" s="60"/>
    </row>
    <row r="10" s="40" customFormat="true" ht="18.75" hidden="false" customHeight="true" outlineLevel="0" collapsed="false">
      <c r="A10" s="42" t="s">
        <v>419</v>
      </c>
      <c r="B10" s="37" t="n">
        <v>71552947000153</v>
      </c>
      <c r="C10" s="38"/>
      <c r="D10" s="38" t="s">
        <v>159</v>
      </c>
      <c r="E10" s="38" t="s">
        <v>420</v>
      </c>
      <c r="F10" s="38"/>
      <c r="G10" s="59" t="s">
        <v>421</v>
      </c>
      <c r="H10" s="39"/>
      <c r="I10" s="39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1" t="n">
        <v>608.12</v>
      </c>
      <c r="V10" s="62"/>
      <c r="W10" s="62"/>
      <c r="X10" s="62"/>
      <c r="Y10" s="62"/>
      <c r="Z10" s="62"/>
      <c r="AA10" s="60"/>
    </row>
    <row r="11" s="40" customFormat="true" ht="18.75" hidden="false" customHeight="true" outlineLevel="0" collapsed="false">
      <c r="A11" s="42" t="s">
        <v>422</v>
      </c>
      <c r="B11" s="37" t="n">
        <v>71552947000153</v>
      </c>
      <c r="C11" s="38"/>
      <c r="D11" s="38" t="s">
        <v>159</v>
      </c>
      <c r="E11" s="38" t="s">
        <v>423</v>
      </c>
      <c r="F11" s="38"/>
      <c r="G11" s="59" t="n">
        <v>24966</v>
      </c>
      <c r="H11" s="39"/>
      <c r="I11" s="39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1" t="n">
        <v>608.12</v>
      </c>
      <c r="V11" s="62"/>
      <c r="W11" s="62"/>
      <c r="X11" s="62"/>
      <c r="Y11" s="62"/>
      <c r="Z11" s="62"/>
      <c r="AA11" s="60"/>
    </row>
    <row r="12" s="40" customFormat="true" ht="18.75" hidden="false" customHeight="true" outlineLevel="0" collapsed="false">
      <c r="A12" s="42" t="s">
        <v>424</v>
      </c>
      <c r="B12" s="37" t="n">
        <v>71552947000153</v>
      </c>
      <c r="C12" s="38"/>
      <c r="D12" s="38" t="s">
        <v>159</v>
      </c>
      <c r="E12" s="38" t="s">
        <v>425</v>
      </c>
      <c r="F12" s="38"/>
      <c r="G12" s="65" t="s">
        <v>426</v>
      </c>
      <c r="H12" s="39"/>
      <c r="I12" s="39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1" t="n">
        <v>608.12</v>
      </c>
      <c r="V12" s="62"/>
      <c r="W12" s="62"/>
      <c r="X12" s="62"/>
      <c r="Y12" s="62"/>
      <c r="Z12" s="62"/>
      <c r="AA12" s="60"/>
    </row>
    <row r="13" s="40" customFormat="true" ht="18.75" hidden="false" customHeight="true" outlineLevel="0" collapsed="false">
      <c r="A13" s="42" t="s">
        <v>427</v>
      </c>
      <c r="B13" s="43" t="s">
        <v>296</v>
      </c>
      <c r="C13" s="42"/>
      <c r="D13" s="38" t="s">
        <v>297</v>
      </c>
      <c r="E13" s="38" t="s">
        <v>428</v>
      </c>
      <c r="F13" s="38"/>
      <c r="G13" s="59" t="n">
        <v>35974</v>
      </c>
      <c r="H13" s="39"/>
      <c r="I13" s="39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1" t="n">
        <v>548.21</v>
      </c>
      <c r="V13" s="62"/>
      <c r="W13" s="62"/>
      <c r="X13" s="62"/>
      <c r="Y13" s="62"/>
      <c r="Z13" s="62"/>
      <c r="AA13" s="60"/>
    </row>
    <row r="14" s="40" customFormat="true" ht="18.75" hidden="false" customHeight="true" outlineLevel="0" collapsed="false">
      <c r="A14" s="42" t="s">
        <v>429</v>
      </c>
      <c r="B14" s="43" t="s">
        <v>296</v>
      </c>
      <c r="C14" s="38"/>
      <c r="D14" s="38" t="s">
        <v>297</v>
      </c>
      <c r="E14" s="38" t="s">
        <v>430</v>
      </c>
      <c r="F14" s="38"/>
      <c r="G14" s="59" t="n">
        <v>27246</v>
      </c>
      <c r="H14" s="39"/>
      <c r="I14" s="39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1" t="n">
        <v>548.21</v>
      </c>
      <c r="V14" s="62"/>
      <c r="W14" s="62"/>
      <c r="X14" s="62"/>
      <c r="Y14" s="62"/>
      <c r="Z14" s="62"/>
      <c r="AA14" s="60"/>
    </row>
    <row r="15" s="40" customFormat="true" ht="18.75" hidden="false" customHeight="true" outlineLevel="0" collapsed="false">
      <c r="A15" s="42" t="s">
        <v>431</v>
      </c>
      <c r="B15" s="43" t="s">
        <v>296</v>
      </c>
      <c r="C15" s="38"/>
      <c r="D15" s="38" t="s">
        <v>297</v>
      </c>
      <c r="E15" s="38" t="s">
        <v>432</v>
      </c>
      <c r="F15" s="38"/>
      <c r="G15" s="59" t="n">
        <v>30381</v>
      </c>
      <c r="H15" s="39"/>
      <c r="I15" s="39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 t="n">
        <v>548.21</v>
      </c>
      <c r="V15" s="62"/>
      <c r="W15" s="62"/>
      <c r="X15" s="62"/>
      <c r="Y15" s="62"/>
      <c r="Z15" s="62"/>
      <c r="AA15" s="60"/>
    </row>
    <row r="16" s="40" customFormat="true" ht="18.75" hidden="false" customHeight="true" outlineLevel="0" collapsed="false">
      <c r="A16" s="42" t="s">
        <v>433</v>
      </c>
      <c r="B16" s="42" t="s">
        <v>318</v>
      </c>
      <c r="C16" s="42"/>
      <c r="D16" s="38" t="s">
        <v>319</v>
      </c>
      <c r="E16" s="38" t="s">
        <v>434</v>
      </c>
      <c r="F16" s="38"/>
      <c r="G16" s="65" t="n">
        <v>27972</v>
      </c>
      <c r="H16" s="39"/>
      <c r="I16" s="39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1" t="n">
        <v>608.12</v>
      </c>
      <c r="V16" s="62"/>
      <c r="W16" s="62"/>
      <c r="X16" s="62"/>
      <c r="Y16" s="62"/>
      <c r="Z16" s="62"/>
      <c r="AA16" s="60"/>
    </row>
    <row r="17" s="40" customFormat="true" ht="18.75" hidden="false" customHeight="true" outlineLevel="0" collapsed="false">
      <c r="A17" s="42" t="s">
        <v>435</v>
      </c>
      <c r="B17" s="42" t="s">
        <v>304</v>
      </c>
      <c r="C17" s="42"/>
      <c r="D17" s="38" t="s">
        <v>305</v>
      </c>
      <c r="E17" s="38" t="s">
        <v>436</v>
      </c>
      <c r="F17" s="38"/>
      <c r="G17" s="59" t="n">
        <v>36509</v>
      </c>
      <c r="H17" s="39"/>
      <c r="I17" s="39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1" t="n">
        <v>608.12</v>
      </c>
      <c r="V17" s="62"/>
      <c r="W17" s="62"/>
      <c r="X17" s="62"/>
      <c r="Y17" s="62"/>
      <c r="Z17" s="62"/>
      <c r="AA17" s="60"/>
    </row>
    <row r="18" s="40" customFormat="true" ht="18.75" hidden="false" customHeight="true" outlineLevel="0" collapsed="false">
      <c r="A18" s="42" t="s">
        <v>437</v>
      </c>
      <c r="B18" s="42" t="s">
        <v>304</v>
      </c>
      <c r="C18" s="42"/>
      <c r="D18" s="38" t="s">
        <v>305</v>
      </c>
      <c r="E18" s="38" t="s">
        <v>438</v>
      </c>
      <c r="F18" s="38"/>
      <c r="G18" s="65" t="n">
        <v>34500</v>
      </c>
      <c r="H18" s="39"/>
      <c r="I18" s="39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1" t="n">
        <v>608.12</v>
      </c>
      <c r="V18" s="62"/>
      <c r="W18" s="62"/>
      <c r="X18" s="62"/>
      <c r="Y18" s="62"/>
      <c r="Z18" s="62"/>
      <c r="AA18" s="60"/>
    </row>
    <row r="19" s="40" customFormat="true" ht="18.75" hidden="false" customHeight="true" outlineLevel="0" collapsed="false">
      <c r="A19" s="42" t="s">
        <v>439</v>
      </c>
      <c r="B19" s="42" t="s">
        <v>304</v>
      </c>
      <c r="C19" s="42"/>
      <c r="D19" s="38" t="s">
        <v>305</v>
      </c>
      <c r="E19" s="38" t="s">
        <v>440</v>
      </c>
      <c r="F19" s="38"/>
      <c r="G19" s="65" t="s">
        <v>441</v>
      </c>
      <c r="H19" s="39"/>
      <c r="I19" s="39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1" t="n">
        <v>608.12</v>
      </c>
      <c r="V19" s="62"/>
      <c r="W19" s="62"/>
      <c r="X19" s="62"/>
      <c r="Y19" s="62"/>
      <c r="Z19" s="62"/>
      <c r="AA19" s="60"/>
    </row>
    <row r="20" s="40" customFormat="true" ht="18.75" hidden="false" customHeight="true" outlineLevel="0" collapsed="false">
      <c r="A20" s="66" t="s">
        <v>442</v>
      </c>
      <c r="B20" s="39" t="s">
        <v>308</v>
      </c>
      <c r="C20" s="38"/>
      <c r="D20" s="38" t="s">
        <v>309</v>
      </c>
      <c r="E20" s="38" t="s">
        <v>443</v>
      </c>
      <c r="F20" s="38"/>
      <c r="G20" s="59" t="n">
        <v>37423</v>
      </c>
      <c r="H20" s="39"/>
      <c r="I20" s="39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1" t="n">
        <v>548.21</v>
      </c>
      <c r="V20" s="62"/>
      <c r="W20" s="62"/>
      <c r="X20" s="62"/>
      <c r="Y20" s="62"/>
      <c r="Z20" s="62"/>
      <c r="AA20" s="60"/>
    </row>
    <row r="21" s="40" customFormat="true" ht="18.75" hidden="false" customHeight="true" outlineLevel="0" collapsed="false">
      <c r="A21" s="66" t="s">
        <v>444</v>
      </c>
      <c r="B21" s="39" t="s">
        <v>308</v>
      </c>
      <c r="C21" s="38"/>
      <c r="D21" s="38" t="s">
        <v>309</v>
      </c>
      <c r="E21" s="38" t="s">
        <v>445</v>
      </c>
      <c r="F21" s="38"/>
      <c r="G21" s="59" t="n">
        <v>37675</v>
      </c>
      <c r="H21" s="39"/>
      <c r="I21" s="39"/>
      <c r="J21" s="60"/>
      <c r="K21" s="64"/>
      <c r="L21" s="60"/>
      <c r="M21" s="60"/>
      <c r="N21" s="60"/>
      <c r="O21" s="60"/>
      <c r="P21" s="60"/>
      <c r="Q21" s="60"/>
      <c r="R21" s="60"/>
      <c r="S21" s="60"/>
      <c r="T21" s="60"/>
      <c r="U21" s="61" t="n">
        <v>548.21</v>
      </c>
      <c r="V21" s="62"/>
      <c r="W21" s="62"/>
      <c r="X21" s="62"/>
      <c r="Y21" s="62"/>
      <c r="Z21" s="62"/>
      <c r="AA21" s="60"/>
    </row>
    <row r="22" s="40" customFormat="true" ht="18.75" hidden="false" customHeight="true" outlineLevel="0" collapsed="false">
      <c r="A22" s="42" t="s">
        <v>446</v>
      </c>
      <c r="B22" s="39" t="s">
        <v>308</v>
      </c>
      <c r="C22" s="42"/>
      <c r="D22" s="38" t="s">
        <v>309</v>
      </c>
      <c r="E22" s="38" t="s">
        <v>447</v>
      </c>
      <c r="F22" s="38"/>
      <c r="G22" s="59" t="s">
        <v>448</v>
      </c>
      <c r="H22" s="39"/>
      <c r="I22" s="39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1" t="n">
        <v>548.21</v>
      </c>
      <c r="V22" s="62"/>
      <c r="W22" s="62"/>
      <c r="X22" s="62"/>
      <c r="Y22" s="62"/>
      <c r="Z22" s="62"/>
      <c r="AA22" s="60"/>
    </row>
    <row r="23" s="40" customFormat="true" ht="18.75" hidden="false" customHeight="true" outlineLevel="0" collapsed="false">
      <c r="A23" s="42" t="s">
        <v>449</v>
      </c>
      <c r="B23" s="39" t="s">
        <v>308</v>
      </c>
      <c r="C23" s="38"/>
      <c r="D23" s="38" t="s">
        <v>309</v>
      </c>
      <c r="E23" s="38" t="s">
        <v>450</v>
      </c>
      <c r="F23" s="38"/>
      <c r="G23" s="59" t="n">
        <v>37836</v>
      </c>
      <c r="H23" s="39"/>
      <c r="I23" s="39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1" t="n">
        <v>548.21</v>
      </c>
      <c r="V23" s="62"/>
      <c r="W23" s="62"/>
      <c r="X23" s="62"/>
      <c r="Y23" s="62"/>
      <c r="Z23" s="62"/>
      <c r="AA23" s="60"/>
    </row>
    <row r="24" s="40" customFormat="true" ht="18.75" hidden="false" customHeight="true" outlineLevel="0" collapsed="false">
      <c r="A24" s="42" t="s">
        <v>451</v>
      </c>
      <c r="B24" s="39" t="s">
        <v>308</v>
      </c>
      <c r="C24" s="38"/>
      <c r="D24" s="38" t="s">
        <v>309</v>
      </c>
      <c r="E24" s="38" t="s">
        <v>452</v>
      </c>
      <c r="F24" s="38"/>
      <c r="G24" s="65" t="s">
        <v>453</v>
      </c>
      <c r="H24" s="39"/>
      <c r="I24" s="39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1" t="n">
        <v>548.21</v>
      </c>
      <c r="V24" s="62"/>
      <c r="W24" s="62"/>
      <c r="X24" s="62"/>
      <c r="Y24" s="62"/>
      <c r="Z24" s="62"/>
      <c r="AA24" s="60"/>
    </row>
    <row r="25" s="40" customFormat="true" ht="18.75" hidden="false" customHeight="true" outlineLevel="0" collapsed="false">
      <c r="A25" s="42" t="s">
        <v>454</v>
      </c>
      <c r="B25" s="39" t="s">
        <v>308</v>
      </c>
      <c r="C25" s="42"/>
      <c r="D25" s="38" t="s">
        <v>309</v>
      </c>
      <c r="E25" s="38" t="s">
        <v>455</v>
      </c>
      <c r="F25" s="38"/>
      <c r="G25" s="65" t="s">
        <v>456</v>
      </c>
      <c r="H25" s="39"/>
      <c r="I25" s="39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1" t="n">
        <v>548.21</v>
      </c>
      <c r="V25" s="62"/>
      <c r="W25" s="62"/>
      <c r="X25" s="62"/>
      <c r="Y25" s="62"/>
      <c r="Z25" s="62"/>
      <c r="AA25" s="60"/>
    </row>
    <row r="26" s="40" customFormat="true" ht="18.75" hidden="false" customHeight="true" outlineLevel="0" collapsed="false">
      <c r="A26" s="67" t="s">
        <v>457</v>
      </c>
      <c r="B26" s="43" t="s">
        <v>357</v>
      </c>
      <c r="C26" s="44"/>
      <c r="D26" s="44" t="s">
        <v>358</v>
      </c>
      <c r="E26" s="44" t="s">
        <v>458</v>
      </c>
      <c r="F26" s="39"/>
      <c r="G26" s="68" t="n">
        <v>31710</v>
      </c>
      <c r="H26" s="39"/>
      <c r="I26" s="39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2" t="n">
        <v>608.12</v>
      </c>
      <c r="V26" s="62"/>
      <c r="W26" s="62"/>
      <c r="X26" s="62"/>
      <c r="Y26" s="62"/>
      <c r="Z26" s="62"/>
      <c r="AA26" s="60"/>
    </row>
    <row r="27" s="40" customFormat="true" ht="18.75" hidden="false" customHeight="true" outlineLevel="0" collapsed="false">
      <c r="A27" s="67" t="s">
        <v>459</v>
      </c>
      <c r="B27" s="43" t="s">
        <v>357</v>
      </c>
      <c r="C27" s="44"/>
      <c r="D27" s="44" t="s">
        <v>358</v>
      </c>
      <c r="E27" s="44" t="s">
        <v>460</v>
      </c>
      <c r="F27" s="39"/>
      <c r="G27" s="68" t="n">
        <v>24482</v>
      </c>
      <c r="H27" s="61"/>
      <c r="I27" s="69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2" t="n">
        <v>608.12</v>
      </c>
      <c r="V27" s="62"/>
      <c r="W27" s="62"/>
      <c r="X27" s="62"/>
      <c r="Y27" s="62"/>
      <c r="Z27" s="62"/>
      <c r="AA27" s="63"/>
    </row>
    <row r="28" s="40" customFormat="true" ht="18.75" hidden="false" customHeight="true" outlineLevel="0" collapsed="false">
      <c r="A28" s="67" t="s">
        <v>461</v>
      </c>
      <c r="B28" s="43" t="s">
        <v>357</v>
      </c>
      <c r="C28" s="44"/>
      <c r="D28" s="44" t="s">
        <v>358</v>
      </c>
      <c r="E28" s="44" t="s">
        <v>462</v>
      </c>
      <c r="F28" s="39"/>
      <c r="G28" s="68" t="n">
        <v>32127</v>
      </c>
      <c r="H28" s="39"/>
      <c r="I28" s="39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2" t="n">
        <v>608.12</v>
      </c>
      <c r="V28" s="62"/>
      <c r="W28" s="62"/>
      <c r="X28" s="62"/>
      <c r="Y28" s="62"/>
      <c r="Z28" s="62"/>
      <c r="AA28" s="60"/>
    </row>
    <row r="29" s="40" customFormat="true" ht="18.75" hidden="false" customHeight="true" outlineLevel="0" collapsed="false">
      <c r="A29" s="67" t="s">
        <v>463</v>
      </c>
      <c r="B29" s="43" t="s">
        <v>357</v>
      </c>
      <c r="C29" s="44"/>
      <c r="D29" s="44" t="s">
        <v>358</v>
      </c>
      <c r="E29" s="44" t="s">
        <v>464</v>
      </c>
      <c r="F29" s="39"/>
      <c r="G29" s="68" t="n">
        <v>26196</v>
      </c>
      <c r="H29" s="39"/>
      <c r="I29" s="39"/>
      <c r="J29" s="60"/>
      <c r="K29" s="60"/>
      <c r="L29" s="60"/>
      <c r="M29" s="60"/>
      <c r="N29" s="60"/>
      <c r="O29" s="60"/>
      <c r="P29" s="60"/>
      <c r="Q29" s="60"/>
      <c r="R29" s="60"/>
      <c r="S29" s="60"/>
      <c r="T29" s="60"/>
      <c r="U29" s="62" t="n">
        <v>608.12</v>
      </c>
      <c r="V29" s="62"/>
      <c r="W29" s="62"/>
      <c r="X29" s="62"/>
      <c r="Y29" s="62"/>
      <c r="Z29" s="62"/>
      <c r="AA29" s="60"/>
    </row>
    <row r="30" s="40" customFormat="true" ht="18.75" hidden="false" customHeight="true" outlineLevel="0" collapsed="false">
      <c r="A30" s="67" t="s">
        <v>465</v>
      </c>
      <c r="B30" s="43" t="s">
        <v>357</v>
      </c>
      <c r="C30" s="44"/>
      <c r="D30" s="44" t="s">
        <v>358</v>
      </c>
      <c r="E30" s="44" t="s">
        <v>466</v>
      </c>
      <c r="F30" s="39"/>
      <c r="G30" s="68" t="n">
        <v>37029</v>
      </c>
      <c r="H30" s="39"/>
      <c r="I30" s="39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2" t="n">
        <v>608.12</v>
      </c>
      <c r="V30" s="62"/>
      <c r="W30" s="62"/>
      <c r="X30" s="62"/>
      <c r="Y30" s="62"/>
      <c r="Z30" s="62"/>
      <c r="AA30" s="60"/>
    </row>
    <row r="31" s="40" customFormat="true" ht="18.75" hidden="false" customHeight="true" outlineLevel="0" collapsed="false">
      <c r="A31" s="67" t="s">
        <v>467</v>
      </c>
      <c r="B31" s="43" t="s">
        <v>357</v>
      </c>
      <c r="C31" s="44"/>
      <c r="D31" s="44" t="s">
        <v>358</v>
      </c>
      <c r="E31" s="44" t="s">
        <v>468</v>
      </c>
      <c r="F31" s="39"/>
      <c r="G31" s="68" t="n">
        <v>29199</v>
      </c>
      <c r="H31" s="39"/>
      <c r="I31" s="39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2" t="n">
        <v>608.12</v>
      </c>
      <c r="V31" s="62"/>
      <c r="W31" s="62"/>
      <c r="X31" s="62"/>
      <c r="Y31" s="62"/>
      <c r="Z31" s="62"/>
      <c r="AA31" s="60"/>
    </row>
    <row r="32" s="40" customFormat="true" ht="18.75" hidden="false" customHeight="true" outlineLevel="0" collapsed="false">
      <c r="A32" s="67" t="s">
        <v>469</v>
      </c>
      <c r="B32" s="43" t="s">
        <v>357</v>
      </c>
      <c r="C32" s="44"/>
      <c r="D32" s="44" t="s">
        <v>358</v>
      </c>
      <c r="E32" s="44" t="s">
        <v>470</v>
      </c>
      <c r="F32" s="39"/>
      <c r="G32" s="68" t="n">
        <v>24658</v>
      </c>
      <c r="H32" s="39"/>
      <c r="I32" s="39"/>
      <c r="J32" s="60"/>
      <c r="K32" s="60"/>
      <c r="L32" s="60"/>
      <c r="M32" s="60"/>
      <c r="N32" s="60"/>
      <c r="O32" s="60"/>
      <c r="P32" s="60"/>
      <c r="Q32" s="60"/>
      <c r="R32" s="60"/>
      <c r="S32" s="60"/>
      <c r="T32" s="60"/>
      <c r="U32" s="62" t="n">
        <v>608.12</v>
      </c>
      <c r="V32" s="62"/>
      <c r="W32" s="62"/>
      <c r="X32" s="62"/>
      <c r="Y32" s="62"/>
      <c r="Z32" s="62"/>
      <c r="AA32" s="60"/>
    </row>
    <row r="33" s="40" customFormat="true" ht="18.75" hidden="false" customHeight="true" outlineLevel="0" collapsed="false">
      <c r="A33" s="67" t="s">
        <v>471</v>
      </c>
      <c r="B33" s="43" t="s">
        <v>357</v>
      </c>
      <c r="C33" s="44"/>
      <c r="D33" s="44" t="s">
        <v>358</v>
      </c>
      <c r="E33" s="44" t="s">
        <v>472</v>
      </c>
      <c r="F33" s="39"/>
      <c r="G33" s="68" t="n">
        <v>25523</v>
      </c>
      <c r="H33" s="39"/>
      <c r="I33" s="39"/>
      <c r="J33" s="60"/>
      <c r="K33" s="60"/>
      <c r="L33" s="60"/>
      <c r="M33" s="60"/>
      <c r="N33" s="60"/>
      <c r="O33" s="60"/>
      <c r="P33" s="60"/>
      <c r="Q33" s="60"/>
      <c r="R33" s="60"/>
      <c r="S33" s="60"/>
      <c r="T33" s="60"/>
      <c r="U33" s="62" t="n">
        <v>608.12</v>
      </c>
      <c r="V33" s="62"/>
      <c r="W33" s="62"/>
      <c r="X33" s="62"/>
      <c r="Y33" s="62"/>
      <c r="Z33" s="62"/>
      <c r="AA33" s="60"/>
    </row>
    <row r="34" s="40" customFormat="true" ht="18.75" hidden="false" customHeight="true" outlineLevel="0" collapsed="false">
      <c r="A34" s="42" t="s">
        <v>473</v>
      </c>
      <c r="B34" s="42" t="s">
        <v>342</v>
      </c>
      <c r="C34" s="38"/>
      <c r="D34" s="38" t="s">
        <v>474</v>
      </c>
      <c r="E34" s="38" t="s">
        <v>475</v>
      </c>
      <c r="F34" s="38"/>
      <c r="G34" s="59" t="s">
        <v>476</v>
      </c>
      <c r="H34" s="39"/>
      <c r="I34" s="39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1" t="n">
        <v>608.12</v>
      </c>
      <c r="V34" s="62"/>
      <c r="W34" s="62"/>
      <c r="X34" s="62"/>
      <c r="Y34" s="62"/>
      <c r="Z34" s="62"/>
      <c r="AA34" s="60"/>
    </row>
    <row r="35" s="40" customFormat="true" ht="18.75" hidden="false" customHeight="true" outlineLevel="0" collapsed="false">
      <c r="A35" s="42" t="s">
        <v>477</v>
      </c>
      <c r="B35" s="39" t="s">
        <v>246</v>
      </c>
      <c r="C35" s="42"/>
      <c r="D35" s="38" t="s">
        <v>247</v>
      </c>
      <c r="E35" s="42" t="s">
        <v>478</v>
      </c>
      <c r="F35" s="42"/>
      <c r="G35" s="65" t="s">
        <v>479</v>
      </c>
      <c r="H35" s="39"/>
      <c r="I35" s="39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1" t="n">
        <v>700</v>
      </c>
      <c r="V35" s="62"/>
      <c r="W35" s="62"/>
      <c r="X35" s="62"/>
      <c r="Y35" s="62"/>
      <c r="Z35" s="62"/>
      <c r="AA35" s="60"/>
    </row>
    <row r="36" s="40" customFormat="true" ht="18.75" hidden="false" customHeight="true" outlineLevel="0" collapsed="false">
      <c r="A36" s="39" t="s">
        <v>480</v>
      </c>
      <c r="B36" s="39" t="s">
        <v>246</v>
      </c>
      <c r="C36" s="39"/>
      <c r="D36" s="38" t="s">
        <v>247</v>
      </c>
      <c r="E36" s="42" t="s">
        <v>481</v>
      </c>
      <c r="F36" s="42"/>
      <c r="G36" s="70" t="s">
        <v>482</v>
      </c>
      <c r="H36" s="39"/>
      <c r="I36" s="39"/>
      <c r="J36" s="60"/>
      <c r="K36" s="60"/>
      <c r="L36" s="60"/>
      <c r="M36" s="60"/>
      <c r="N36" s="60"/>
      <c r="O36" s="60"/>
      <c r="P36" s="60"/>
      <c r="Q36" s="60"/>
      <c r="R36" s="60"/>
      <c r="S36" s="60"/>
      <c r="T36" s="60"/>
      <c r="U36" s="61" t="n">
        <v>700</v>
      </c>
      <c r="V36" s="62"/>
      <c r="W36" s="62"/>
      <c r="X36" s="62"/>
      <c r="Y36" s="62"/>
      <c r="Z36" s="62"/>
      <c r="AA36" s="60"/>
    </row>
    <row r="37" s="40" customFormat="true" ht="18.75" hidden="false" customHeight="true" outlineLevel="0" collapsed="false">
      <c r="A37" s="42" t="s">
        <v>483</v>
      </c>
      <c r="B37" s="39" t="s">
        <v>320</v>
      </c>
      <c r="C37" s="42"/>
      <c r="D37" s="38" t="s">
        <v>321</v>
      </c>
      <c r="E37" s="38" t="s">
        <v>484</v>
      </c>
      <c r="F37" s="38"/>
      <c r="G37" s="59" t="s">
        <v>485</v>
      </c>
      <c r="H37" s="39"/>
      <c r="I37" s="39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1" t="n">
        <v>608.12</v>
      </c>
      <c r="V37" s="62"/>
      <c r="W37" s="62"/>
      <c r="X37" s="62"/>
      <c r="Y37" s="62"/>
      <c r="Z37" s="62"/>
      <c r="AA37" s="60"/>
    </row>
    <row r="38" s="40" customFormat="true" ht="18.75" hidden="false" customHeight="true" outlineLevel="0" collapsed="false">
      <c r="A38" s="39" t="s">
        <v>486</v>
      </c>
      <c r="B38" s="43" t="s">
        <v>353</v>
      </c>
      <c r="C38" s="39"/>
      <c r="D38" s="43" t="s">
        <v>354</v>
      </c>
      <c r="E38" s="39" t="s">
        <v>487</v>
      </c>
      <c r="F38" s="39"/>
      <c r="G38" s="70" t="s">
        <v>488</v>
      </c>
      <c r="H38" s="39"/>
      <c r="I38" s="39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2" t="n">
        <v>608.12</v>
      </c>
      <c r="V38" s="62"/>
      <c r="W38" s="62"/>
      <c r="X38" s="62"/>
      <c r="Y38" s="62"/>
      <c r="Z38" s="62"/>
      <c r="AA38" s="60"/>
    </row>
    <row r="39" s="40" customFormat="true" ht="18.75" hidden="false" customHeight="true" outlineLevel="0" collapsed="false">
      <c r="A39" s="42" t="s">
        <v>489</v>
      </c>
      <c r="B39" s="37" t="s">
        <v>200</v>
      </c>
      <c r="C39" s="38"/>
      <c r="D39" s="38" t="s">
        <v>201</v>
      </c>
      <c r="E39" s="38" t="s">
        <v>490</v>
      </c>
      <c r="F39" s="38"/>
      <c r="G39" s="59" t="n">
        <v>34766</v>
      </c>
      <c r="H39" s="39"/>
      <c r="I39" s="39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1" t="n">
        <v>608.12</v>
      </c>
      <c r="V39" s="62"/>
      <c r="W39" s="62"/>
      <c r="X39" s="62"/>
      <c r="Y39" s="62"/>
      <c r="Z39" s="62"/>
      <c r="AA39" s="60"/>
    </row>
    <row r="40" s="40" customFormat="true" ht="18.75" hidden="false" customHeight="true" outlineLevel="0" collapsed="false">
      <c r="A40" s="42" t="s">
        <v>491</v>
      </c>
      <c r="B40" s="37" t="s">
        <v>200</v>
      </c>
      <c r="C40" s="38"/>
      <c r="D40" s="38" t="s">
        <v>201</v>
      </c>
      <c r="E40" s="38" t="s">
        <v>492</v>
      </c>
      <c r="F40" s="38"/>
      <c r="G40" s="59" t="n">
        <v>33944</v>
      </c>
      <c r="H40" s="39"/>
      <c r="I40" s="39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1" t="n">
        <v>608.12</v>
      </c>
      <c r="V40" s="62"/>
      <c r="W40" s="62"/>
      <c r="X40" s="62"/>
      <c r="Y40" s="62"/>
      <c r="Z40" s="62"/>
      <c r="AA40" s="60"/>
    </row>
    <row r="41" s="40" customFormat="true" ht="18.75" hidden="false" customHeight="true" outlineLevel="0" collapsed="false">
      <c r="A41" s="42" t="s">
        <v>493</v>
      </c>
      <c r="B41" s="37" t="s">
        <v>200</v>
      </c>
      <c r="C41" s="38"/>
      <c r="D41" s="38" t="s">
        <v>201</v>
      </c>
      <c r="E41" s="38" t="s">
        <v>494</v>
      </c>
      <c r="F41" s="38"/>
      <c r="G41" s="59" t="s">
        <v>495</v>
      </c>
      <c r="H41" s="39"/>
      <c r="I41" s="39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1" t="n">
        <v>608.12</v>
      </c>
      <c r="V41" s="62"/>
      <c r="W41" s="62"/>
      <c r="X41" s="62"/>
      <c r="Y41" s="62"/>
      <c r="Z41" s="62"/>
      <c r="AA41" s="60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O41" s="63"/>
      <c r="BQ41" s="63"/>
      <c r="BS41" s="63"/>
    </row>
    <row r="42" s="40" customFormat="true" ht="18.75" hidden="false" customHeight="true" outlineLevel="0" collapsed="false">
      <c r="A42" s="42" t="s">
        <v>496</v>
      </c>
      <c r="B42" s="37" t="s">
        <v>200</v>
      </c>
      <c r="C42" s="38"/>
      <c r="D42" s="38" t="s">
        <v>201</v>
      </c>
      <c r="E42" s="38" t="s">
        <v>497</v>
      </c>
      <c r="F42" s="38"/>
      <c r="G42" s="59" t="n">
        <v>37811</v>
      </c>
      <c r="H42" s="39"/>
      <c r="I42" s="39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1" t="n">
        <v>608.12</v>
      </c>
      <c r="V42" s="62"/>
      <c r="W42" s="62"/>
      <c r="X42" s="62"/>
      <c r="Y42" s="62"/>
      <c r="Z42" s="62"/>
      <c r="AA42" s="60"/>
    </row>
    <row r="43" s="40" customFormat="true" ht="18.75" hidden="false" customHeight="true" outlineLevel="0" collapsed="false">
      <c r="A43" s="42" t="s">
        <v>498</v>
      </c>
      <c r="B43" s="37" t="s">
        <v>200</v>
      </c>
      <c r="C43" s="38"/>
      <c r="D43" s="38" t="s">
        <v>201</v>
      </c>
      <c r="E43" s="38" t="s">
        <v>499</v>
      </c>
      <c r="F43" s="38"/>
      <c r="G43" s="65" t="s">
        <v>500</v>
      </c>
      <c r="H43" s="39"/>
      <c r="I43" s="39"/>
      <c r="J43" s="60"/>
      <c r="K43" s="60"/>
      <c r="L43" s="60"/>
      <c r="M43" s="60"/>
      <c r="N43" s="60"/>
      <c r="O43" s="60"/>
      <c r="P43" s="60"/>
      <c r="Q43" s="60"/>
      <c r="R43" s="60"/>
      <c r="S43" s="60"/>
      <c r="T43" s="60"/>
      <c r="U43" s="61" t="n">
        <v>608.12</v>
      </c>
      <c r="V43" s="62"/>
      <c r="W43" s="62"/>
      <c r="X43" s="62"/>
      <c r="Y43" s="62"/>
      <c r="Z43" s="62"/>
      <c r="AA43" s="60"/>
    </row>
    <row r="44" s="40" customFormat="true" ht="18.75" hidden="false" customHeight="true" outlineLevel="0" collapsed="false">
      <c r="A44" s="42" t="s">
        <v>501</v>
      </c>
      <c r="B44" s="37" t="s">
        <v>200</v>
      </c>
      <c r="C44" s="38"/>
      <c r="D44" s="38" t="s">
        <v>201</v>
      </c>
      <c r="E44" s="38" t="s">
        <v>502</v>
      </c>
      <c r="F44" s="38"/>
      <c r="G44" s="65" t="n">
        <v>31966</v>
      </c>
      <c r="H44" s="39"/>
      <c r="I44" s="39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1" t="n">
        <v>608.12</v>
      </c>
      <c r="V44" s="62"/>
      <c r="W44" s="62"/>
      <c r="X44" s="62"/>
      <c r="Y44" s="62"/>
      <c r="Z44" s="62"/>
      <c r="AA44" s="60"/>
    </row>
    <row r="45" s="40" customFormat="true" ht="18.75" hidden="false" customHeight="true" outlineLevel="0" collapsed="false">
      <c r="A45" s="71" t="s">
        <v>503</v>
      </c>
      <c r="B45" s="39" t="s">
        <v>238</v>
      </c>
      <c r="C45" s="42"/>
      <c r="D45" s="38" t="s">
        <v>239</v>
      </c>
      <c r="E45" s="38" t="s">
        <v>504</v>
      </c>
      <c r="F45" s="38"/>
      <c r="G45" s="59" t="n">
        <v>25483</v>
      </c>
      <c r="H45" s="39"/>
      <c r="I45" s="39"/>
      <c r="J45" s="60"/>
      <c r="K45" s="60"/>
      <c r="L45" s="60"/>
      <c r="M45" s="60"/>
      <c r="N45" s="60"/>
      <c r="O45" s="60"/>
      <c r="P45" s="60"/>
      <c r="Q45" s="60"/>
      <c r="R45" s="60"/>
      <c r="S45" s="60"/>
      <c r="T45" s="60"/>
      <c r="U45" s="61" t="n">
        <v>608.12</v>
      </c>
      <c r="V45" s="62"/>
      <c r="W45" s="62"/>
      <c r="X45" s="62"/>
      <c r="Y45" s="62"/>
      <c r="Z45" s="62"/>
      <c r="AA45" s="60"/>
    </row>
    <row r="46" s="40" customFormat="true" ht="18.75" hidden="false" customHeight="true" outlineLevel="0" collapsed="false">
      <c r="A46" s="71" t="s">
        <v>505</v>
      </c>
      <c r="B46" s="38" t="s">
        <v>238</v>
      </c>
      <c r="C46" s="38"/>
      <c r="D46" s="38" t="s">
        <v>239</v>
      </c>
      <c r="E46" s="38" t="s">
        <v>506</v>
      </c>
      <c r="F46" s="38"/>
      <c r="G46" s="59" t="n">
        <v>27973</v>
      </c>
      <c r="H46" s="39"/>
      <c r="I46" s="39"/>
      <c r="J46" s="60"/>
      <c r="K46" s="60"/>
      <c r="L46" s="60"/>
      <c r="M46" s="60"/>
      <c r="N46" s="60"/>
      <c r="O46" s="60"/>
      <c r="P46" s="60"/>
      <c r="Q46" s="60"/>
      <c r="R46" s="60"/>
      <c r="S46" s="60"/>
      <c r="T46" s="60"/>
      <c r="U46" s="61" t="n">
        <v>608.12</v>
      </c>
      <c r="V46" s="62"/>
      <c r="W46" s="62"/>
      <c r="X46" s="62"/>
      <c r="Y46" s="62"/>
      <c r="Z46" s="62"/>
      <c r="AA46" s="60"/>
    </row>
    <row r="47" s="40" customFormat="true" ht="18.75" hidden="false" customHeight="true" outlineLevel="0" collapsed="false">
      <c r="A47" s="42" t="s">
        <v>507</v>
      </c>
      <c r="B47" s="39" t="s">
        <v>238</v>
      </c>
      <c r="C47" s="42"/>
      <c r="D47" s="38" t="s">
        <v>239</v>
      </c>
      <c r="E47" s="38" t="s">
        <v>508</v>
      </c>
      <c r="F47" s="38"/>
      <c r="G47" s="59" t="n">
        <v>24819</v>
      </c>
      <c r="H47" s="39"/>
      <c r="I47" s="39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1" t="n">
        <v>608.12</v>
      </c>
      <c r="V47" s="62"/>
      <c r="W47" s="62"/>
      <c r="X47" s="62"/>
      <c r="Y47" s="62"/>
      <c r="Z47" s="62"/>
      <c r="AA47" s="60"/>
    </row>
    <row r="48" s="40" customFormat="true" ht="18.75" hidden="false" customHeight="true" outlineLevel="0" collapsed="false">
      <c r="A48" s="71" t="s">
        <v>509</v>
      </c>
      <c r="B48" s="39" t="s">
        <v>238</v>
      </c>
      <c r="C48" s="38"/>
      <c r="D48" s="38" t="s">
        <v>239</v>
      </c>
      <c r="E48" s="38" t="s">
        <v>510</v>
      </c>
      <c r="F48" s="38"/>
      <c r="G48" s="65" t="n">
        <v>24644</v>
      </c>
      <c r="H48" s="39"/>
      <c r="I48" s="39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1" t="n">
        <v>608.12</v>
      </c>
      <c r="V48" s="62"/>
      <c r="W48" s="62"/>
      <c r="X48" s="62"/>
      <c r="Y48" s="62"/>
      <c r="Z48" s="62"/>
      <c r="AA48" s="60"/>
    </row>
    <row r="49" s="40" customFormat="true" ht="18.75" hidden="false" customHeight="true" outlineLevel="0" collapsed="false">
      <c r="A49" s="42" t="s">
        <v>511</v>
      </c>
      <c r="B49" s="39" t="s">
        <v>324</v>
      </c>
      <c r="C49" s="38"/>
      <c r="D49" s="38" t="s">
        <v>325</v>
      </c>
      <c r="E49" s="38" t="s">
        <v>512</v>
      </c>
      <c r="F49" s="38"/>
      <c r="G49" s="59" t="s">
        <v>513</v>
      </c>
      <c r="H49" s="39"/>
      <c r="I49" s="39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1" t="n">
        <v>608.12</v>
      </c>
      <c r="V49" s="62"/>
      <c r="W49" s="62"/>
      <c r="X49" s="62"/>
      <c r="Y49" s="62"/>
      <c r="Z49" s="62"/>
      <c r="AA49" s="60"/>
    </row>
    <row r="50" s="40" customFormat="true" ht="18.75" hidden="false" customHeight="true" outlineLevel="0" collapsed="false">
      <c r="A50" s="42" t="s">
        <v>514</v>
      </c>
      <c r="B50" s="39" t="s">
        <v>292</v>
      </c>
      <c r="C50" s="38"/>
      <c r="D50" s="38" t="s">
        <v>293</v>
      </c>
      <c r="E50" s="38" t="s">
        <v>515</v>
      </c>
      <c r="F50" s="38"/>
      <c r="G50" s="59" t="s">
        <v>516</v>
      </c>
      <c r="H50" s="39"/>
      <c r="I50" s="39"/>
      <c r="J50" s="60"/>
      <c r="K50" s="60"/>
      <c r="L50" s="60"/>
      <c r="M50" s="60"/>
      <c r="N50" s="60"/>
      <c r="O50" s="60"/>
      <c r="P50" s="60"/>
      <c r="Q50" s="60"/>
      <c r="R50" s="60"/>
      <c r="S50" s="60"/>
      <c r="T50" s="60"/>
      <c r="U50" s="61" t="n">
        <v>608.12</v>
      </c>
      <c r="V50" s="62"/>
      <c r="W50" s="62"/>
      <c r="X50" s="62"/>
      <c r="Y50" s="62"/>
      <c r="Z50" s="62"/>
      <c r="AA50" s="60"/>
    </row>
    <row r="51" s="40" customFormat="true" ht="18.75" hidden="false" customHeight="true" outlineLevel="0" collapsed="false">
      <c r="A51" s="42" t="s">
        <v>517</v>
      </c>
      <c r="B51" s="37" t="s">
        <v>170</v>
      </c>
      <c r="C51" s="42"/>
      <c r="D51" s="38" t="s">
        <v>171</v>
      </c>
      <c r="E51" s="38" t="s">
        <v>518</v>
      </c>
      <c r="F51" s="38"/>
      <c r="G51" s="59" t="s">
        <v>519</v>
      </c>
      <c r="H51" s="39"/>
      <c r="I51" s="39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1" t="n">
        <v>608.12</v>
      </c>
      <c r="V51" s="62"/>
      <c r="W51" s="62"/>
      <c r="X51" s="61"/>
      <c r="Y51" s="61"/>
      <c r="Z51" s="61" t="n">
        <v>468</v>
      </c>
      <c r="AA51" s="60"/>
    </row>
    <row r="52" s="40" customFormat="true" ht="18.75" hidden="false" customHeight="true" outlineLevel="0" collapsed="false">
      <c r="A52" s="42" t="s">
        <v>520</v>
      </c>
      <c r="B52" s="37" t="s">
        <v>170</v>
      </c>
      <c r="C52" s="42"/>
      <c r="D52" s="38" t="s">
        <v>171</v>
      </c>
      <c r="E52" s="38" t="s">
        <v>521</v>
      </c>
      <c r="F52" s="38"/>
      <c r="G52" s="59" t="n">
        <v>27615</v>
      </c>
      <c r="H52" s="39"/>
      <c r="I52" s="39"/>
      <c r="J52" s="60"/>
      <c r="K52" s="60"/>
      <c r="L52" s="60"/>
      <c r="M52" s="60"/>
      <c r="N52" s="60"/>
      <c r="O52" s="60"/>
      <c r="P52" s="60"/>
      <c r="Q52" s="60"/>
      <c r="R52" s="60"/>
      <c r="S52" s="60"/>
      <c r="T52" s="60"/>
      <c r="U52" s="61" t="n">
        <v>608.12</v>
      </c>
      <c r="V52" s="62"/>
      <c r="W52" s="62"/>
      <c r="X52" s="62"/>
      <c r="Y52" s="62"/>
      <c r="Z52" s="62"/>
      <c r="AA52" s="60"/>
    </row>
    <row r="53" s="40" customFormat="true" ht="18.75" hidden="false" customHeight="true" outlineLevel="0" collapsed="false">
      <c r="A53" s="42" t="s">
        <v>522</v>
      </c>
      <c r="B53" s="37" t="s">
        <v>170</v>
      </c>
      <c r="C53" s="42"/>
      <c r="D53" s="38" t="s">
        <v>171</v>
      </c>
      <c r="E53" s="38" t="s">
        <v>523</v>
      </c>
      <c r="F53" s="38"/>
      <c r="G53" s="59" t="s">
        <v>524</v>
      </c>
      <c r="H53" s="39"/>
      <c r="I53" s="39"/>
      <c r="J53" s="60"/>
      <c r="K53" s="60"/>
      <c r="L53" s="60"/>
      <c r="M53" s="60"/>
      <c r="N53" s="60"/>
      <c r="O53" s="60"/>
      <c r="P53" s="60"/>
      <c r="Q53" s="60"/>
      <c r="R53" s="60"/>
      <c r="S53" s="60"/>
      <c r="T53" s="60"/>
      <c r="U53" s="61" t="n">
        <v>608.12</v>
      </c>
      <c r="V53" s="62"/>
      <c r="W53" s="62"/>
      <c r="X53" s="62"/>
      <c r="Y53" s="62"/>
      <c r="Z53" s="62"/>
      <c r="AA53" s="60"/>
    </row>
    <row r="54" s="40" customFormat="true" ht="18.75" hidden="false" customHeight="true" outlineLevel="0" collapsed="false">
      <c r="A54" s="42" t="s">
        <v>525</v>
      </c>
      <c r="B54" s="37" t="s">
        <v>170</v>
      </c>
      <c r="C54" s="42"/>
      <c r="D54" s="38" t="s">
        <v>171</v>
      </c>
      <c r="E54" s="38" t="s">
        <v>526</v>
      </c>
      <c r="F54" s="38"/>
      <c r="G54" s="59" t="n">
        <v>33922</v>
      </c>
      <c r="H54" s="39"/>
      <c r="I54" s="39"/>
      <c r="J54" s="60"/>
      <c r="K54" s="60"/>
      <c r="L54" s="60"/>
      <c r="M54" s="60"/>
      <c r="N54" s="60"/>
      <c r="O54" s="60"/>
      <c r="P54" s="60"/>
      <c r="Q54" s="60"/>
      <c r="R54" s="60"/>
      <c r="S54" s="60"/>
      <c r="T54" s="60"/>
      <c r="U54" s="61" t="n">
        <v>608.12</v>
      </c>
      <c r="X54" s="62"/>
      <c r="Y54" s="62"/>
      <c r="Z54" s="62"/>
      <c r="AA54" s="60"/>
    </row>
    <row r="55" s="40" customFormat="true" ht="18.75" hidden="false" customHeight="true" outlineLevel="0" collapsed="false">
      <c r="A55" s="42" t="s">
        <v>527</v>
      </c>
      <c r="B55" s="39" t="s">
        <v>334</v>
      </c>
      <c r="C55" s="38"/>
      <c r="D55" s="38" t="s">
        <v>335</v>
      </c>
      <c r="E55" s="38" t="s">
        <v>528</v>
      </c>
      <c r="F55" s="38"/>
      <c r="G55" s="59" t="s">
        <v>529</v>
      </c>
      <c r="H55" s="39"/>
      <c r="I55" s="39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1" t="n">
        <v>608.12</v>
      </c>
      <c r="V55" s="62"/>
      <c r="W55" s="62"/>
      <c r="X55" s="62"/>
      <c r="Y55" s="62"/>
      <c r="Z55" s="62"/>
      <c r="AA55" s="60"/>
    </row>
    <row r="56" s="40" customFormat="true" ht="18.75" hidden="false" customHeight="true" outlineLevel="0" collapsed="false">
      <c r="A56" s="42" t="s">
        <v>530</v>
      </c>
      <c r="B56" s="39" t="s">
        <v>274</v>
      </c>
      <c r="C56" s="38"/>
      <c r="D56" s="38" t="s">
        <v>275</v>
      </c>
      <c r="E56" s="38" t="s">
        <v>531</v>
      </c>
      <c r="F56" s="38"/>
      <c r="G56" s="59" t="n">
        <v>24563</v>
      </c>
      <c r="H56" s="39"/>
      <c r="I56" s="39"/>
      <c r="J56" s="60"/>
      <c r="K56" s="60"/>
      <c r="L56" s="60"/>
      <c r="M56" s="60"/>
      <c r="N56" s="60"/>
      <c r="O56" s="60"/>
      <c r="P56" s="60"/>
      <c r="Q56" s="60"/>
      <c r="R56" s="60"/>
      <c r="S56" s="60"/>
      <c r="T56" s="60"/>
      <c r="U56" s="61" t="n">
        <v>608.12</v>
      </c>
      <c r="V56" s="62"/>
      <c r="W56" s="62"/>
      <c r="X56" s="62"/>
      <c r="Y56" s="62"/>
      <c r="Z56" s="62"/>
      <c r="AA56" s="60"/>
    </row>
    <row r="57" s="40" customFormat="true" ht="18.75" hidden="false" customHeight="true" outlineLevel="0" collapsed="false">
      <c r="A57" s="42" t="s">
        <v>532</v>
      </c>
      <c r="B57" s="39" t="s">
        <v>274</v>
      </c>
      <c r="C57" s="38"/>
      <c r="D57" s="38" t="s">
        <v>275</v>
      </c>
      <c r="E57" s="38" t="s">
        <v>533</v>
      </c>
      <c r="F57" s="38"/>
      <c r="G57" s="59" t="n">
        <v>28119</v>
      </c>
      <c r="H57" s="39"/>
      <c r="I57" s="39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1" t="n">
        <v>608.12</v>
      </c>
      <c r="V57" s="62"/>
      <c r="W57" s="62"/>
      <c r="X57" s="62"/>
      <c r="Y57" s="62"/>
      <c r="Z57" s="62"/>
      <c r="AA57" s="60"/>
    </row>
    <row r="58" s="40" customFormat="true" ht="18.75" hidden="false" customHeight="true" outlineLevel="0" collapsed="false">
      <c r="A58" s="42" t="s">
        <v>534</v>
      </c>
      <c r="B58" s="39" t="s">
        <v>274</v>
      </c>
      <c r="C58" s="38"/>
      <c r="D58" s="38" t="s">
        <v>275</v>
      </c>
      <c r="E58" s="38" t="s">
        <v>535</v>
      </c>
      <c r="F58" s="38"/>
      <c r="G58" s="59" t="n">
        <v>32328</v>
      </c>
      <c r="H58" s="39"/>
      <c r="I58" s="39"/>
      <c r="J58" s="60"/>
      <c r="K58" s="60"/>
      <c r="L58" s="60"/>
      <c r="M58" s="60"/>
      <c r="N58" s="60"/>
      <c r="O58" s="60"/>
      <c r="P58" s="60"/>
      <c r="Q58" s="60"/>
      <c r="R58" s="60"/>
      <c r="S58" s="60"/>
      <c r="T58" s="60"/>
      <c r="U58" s="61" t="n">
        <v>608.12</v>
      </c>
      <c r="V58" s="62"/>
      <c r="W58" s="62"/>
      <c r="X58" s="62"/>
      <c r="Y58" s="62"/>
      <c r="Z58" s="62"/>
      <c r="AA58" s="60"/>
    </row>
    <row r="59" s="40" customFormat="true" ht="18.75" hidden="false" customHeight="true" outlineLevel="0" collapsed="false">
      <c r="A59" s="42" t="s">
        <v>536</v>
      </c>
      <c r="B59" s="39" t="s">
        <v>274</v>
      </c>
      <c r="C59" s="38"/>
      <c r="D59" s="38" t="s">
        <v>275</v>
      </c>
      <c r="E59" s="38" t="s">
        <v>537</v>
      </c>
      <c r="F59" s="38"/>
      <c r="G59" s="59" t="n">
        <v>35901</v>
      </c>
      <c r="H59" s="39"/>
      <c r="I59" s="39"/>
      <c r="J59" s="60"/>
      <c r="K59" s="60"/>
      <c r="L59" s="60"/>
      <c r="M59" s="60"/>
      <c r="N59" s="60"/>
      <c r="O59" s="60"/>
      <c r="P59" s="60"/>
      <c r="Q59" s="60"/>
      <c r="R59" s="60"/>
      <c r="S59" s="60"/>
      <c r="T59" s="60"/>
      <c r="U59" s="61" t="n">
        <v>608.12</v>
      </c>
      <c r="V59" s="62"/>
      <c r="W59" s="62"/>
      <c r="X59" s="62"/>
      <c r="Y59" s="62"/>
      <c r="Z59" s="62"/>
      <c r="AA59" s="60"/>
    </row>
    <row r="60" s="40" customFormat="true" ht="18.75" hidden="false" customHeight="true" outlineLevel="0" collapsed="false">
      <c r="A60" s="42" t="s">
        <v>538</v>
      </c>
      <c r="B60" s="39" t="s">
        <v>274</v>
      </c>
      <c r="C60" s="38"/>
      <c r="D60" s="38" t="s">
        <v>275</v>
      </c>
      <c r="E60" s="38" t="s">
        <v>539</v>
      </c>
      <c r="F60" s="38"/>
      <c r="G60" s="65" t="n">
        <v>35547</v>
      </c>
      <c r="H60" s="39"/>
      <c r="I60" s="39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1" t="n">
        <v>608.12</v>
      </c>
      <c r="V60" s="62"/>
      <c r="W60" s="62"/>
      <c r="X60" s="62"/>
      <c r="Y60" s="62"/>
      <c r="Z60" s="62"/>
      <c r="AA60" s="60"/>
    </row>
    <row r="61" s="40" customFormat="true" ht="18.75" hidden="false" customHeight="true" outlineLevel="0" collapsed="false">
      <c r="A61" s="42" t="s">
        <v>540</v>
      </c>
      <c r="B61" s="39" t="s">
        <v>330</v>
      </c>
      <c r="C61" s="38"/>
      <c r="D61" s="38" t="s">
        <v>331</v>
      </c>
      <c r="E61" s="38" t="s">
        <v>541</v>
      </c>
      <c r="F61" s="38"/>
      <c r="G61" s="65" t="n">
        <v>28065</v>
      </c>
      <c r="H61" s="39"/>
      <c r="I61" s="39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1" t="n">
        <v>608.12</v>
      </c>
      <c r="V61" s="62"/>
      <c r="W61" s="62"/>
      <c r="X61" s="62"/>
      <c r="Y61" s="62"/>
      <c r="Z61" s="62"/>
      <c r="AA61" s="60"/>
    </row>
    <row r="62" s="40" customFormat="true" ht="18.75" hidden="false" customHeight="true" outlineLevel="0" collapsed="false">
      <c r="A62" s="42" t="s">
        <v>542</v>
      </c>
      <c r="B62" s="43" t="s">
        <v>178</v>
      </c>
      <c r="C62" s="72" t="s">
        <v>374</v>
      </c>
      <c r="D62" s="43" t="s">
        <v>179</v>
      </c>
      <c r="E62" s="39" t="s">
        <v>543</v>
      </c>
      <c r="F62" s="39"/>
      <c r="G62" s="59" t="s">
        <v>544</v>
      </c>
      <c r="H62" s="39"/>
      <c r="I62" s="39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2" t="n">
        <v>608.12</v>
      </c>
      <c r="V62" s="62"/>
      <c r="W62" s="62"/>
      <c r="X62" s="62"/>
      <c r="Y62" s="62"/>
      <c r="Z62" s="62"/>
      <c r="AA62" s="60"/>
    </row>
    <row r="63" s="40" customFormat="true" ht="18.75" hidden="false" customHeight="true" outlineLevel="0" collapsed="false">
      <c r="A63" s="42" t="s">
        <v>545</v>
      </c>
      <c r="B63" s="39" t="s">
        <v>346</v>
      </c>
      <c r="C63" s="38"/>
      <c r="D63" s="38" t="s">
        <v>179</v>
      </c>
      <c r="E63" s="38" t="s">
        <v>546</v>
      </c>
      <c r="F63" s="38"/>
      <c r="G63" s="59" t="s">
        <v>547</v>
      </c>
      <c r="H63" s="39"/>
      <c r="I63" s="39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1" t="n">
        <v>608.12</v>
      </c>
      <c r="V63" s="62"/>
      <c r="W63" s="62"/>
      <c r="X63" s="62"/>
      <c r="Y63" s="62"/>
      <c r="Z63" s="62"/>
      <c r="AA63" s="60"/>
    </row>
    <row r="64" s="40" customFormat="true" ht="18.75" hidden="false" customHeight="true" outlineLevel="0" collapsed="false">
      <c r="A64" s="42" t="s">
        <v>548</v>
      </c>
      <c r="B64" s="39" t="s">
        <v>346</v>
      </c>
      <c r="C64" s="38"/>
      <c r="D64" s="38" t="s">
        <v>179</v>
      </c>
      <c r="E64" s="38" t="s">
        <v>549</v>
      </c>
      <c r="F64" s="38"/>
      <c r="G64" s="59" t="n">
        <v>22135</v>
      </c>
      <c r="H64" s="39"/>
      <c r="I64" s="39"/>
      <c r="J64" s="60"/>
      <c r="K64" s="60"/>
      <c r="L64" s="60"/>
      <c r="M64" s="60"/>
      <c r="N64" s="60"/>
      <c r="O64" s="60"/>
      <c r="P64" s="60"/>
      <c r="Q64" s="60"/>
      <c r="R64" s="60"/>
      <c r="S64" s="60"/>
      <c r="T64" s="60"/>
      <c r="U64" s="61" t="n">
        <v>608.12</v>
      </c>
      <c r="V64" s="62"/>
      <c r="W64" s="62"/>
      <c r="X64" s="62"/>
      <c r="Y64" s="62"/>
      <c r="Z64" s="62"/>
      <c r="AA64" s="60"/>
    </row>
    <row r="65" s="40" customFormat="true" ht="18.75" hidden="false" customHeight="true" outlineLevel="0" collapsed="false">
      <c r="A65" s="42" t="s">
        <v>550</v>
      </c>
      <c r="B65" s="39" t="s">
        <v>346</v>
      </c>
      <c r="C65" s="38"/>
      <c r="D65" s="38" t="s">
        <v>179</v>
      </c>
      <c r="E65" s="38" t="s">
        <v>551</v>
      </c>
      <c r="F65" s="38"/>
      <c r="G65" s="59" t="n">
        <v>32450</v>
      </c>
      <c r="H65" s="39"/>
      <c r="I65" s="39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1" t="n">
        <v>608.12</v>
      </c>
      <c r="V65" s="62"/>
      <c r="W65" s="62"/>
      <c r="X65" s="62"/>
      <c r="Y65" s="62"/>
      <c r="Z65" s="62"/>
      <c r="AA65" s="60"/>
    </row>
    <row r="66" s="40" customFormat="true" ht="18.75" hidden="false" customHeight="true" outlineLevel="0" collapsed="false">
      <c r="A66" s="42" t="s">
        <v>552</v>
      </c>
      <c r="B66" s="39" t="s">
        <v>346</v>
      </c>
      <c r="C66" s="38"/>
      <c r="D66" s="38" t="s">
        <v>179</v>
      </c>
      <c r="E66" s="38" t="s">
        <v>553</v>
      </c>
      <c r="F66" s="38"/>
      <c r="G66" s="59" t="n">
        <v>28285</v>
      </c>
      <c r="H66" s="39"/>
      <c r="I66" s="39"/>
      <c r="J66" s="60"/>
      <c r="K66" s="60"/>
      <c r="L66" s="60"/>
      <c r="M66" s="60"/>
      <c r="N66" s="60"/>
      <c r="O66" s="60"/>
      <c r="P66" s="60"/>
      <c r="Q66" s="60"/>
      <c r="R66" s="60"/>
      <c r="S66" s="60"/>
      <c r="T66" s="60"/>
      <c r="U66" s="61" t="n">
        <v>608.12</v>
      </c>
      <c r="V66" s="62"/>
      <c r="W66" s="62"/>
      <c r="X66" s="62"/>
      <c r="Y66" s="62"/>
      <c r="Z66" s="62"/>
      <c r="AA66" s="60"/>
    </row>
    <row r="67" s="40" customFormat="true" ht="18.75" hidden="false" customHeight="true" outlineLevel="0" collapsed="false">
      <c r="A67" s="42" t="s">
        <v>554</v>
      </c>
      <c r="B67" s="39" t="s">
        <v>346</v>
      </c>
      <c r="C67" s="38"/>
      <c r="D67" s="38" t="s">
        <v>179</v>
      </c>
      <c r="E67" s="38" t="s">
        <v>555</v>
      </c>
      <c r="F67" s="38"/>
      <c r="G67" s="59" t="s">
        <v>556</v>
      </c>
      <c r="H67" s="39"/>
      <c r="I67" s="39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1" t="n">
        <v>608.12</v>
      </c>
      <c r="V67" s="62"/>
      <c r="W67" s="62"/>
      <c r="X67" s="62"/>
      <c r="Y67" s="62"/>
      <c r="Z67" s="62"/>
      <c r="AA67" s="60"/>
    </row>
    <row r="68" s="40" customFormat="true" ht="18.75" hidden="false" customHeight="true" outlineLevel="0" collapsed="false">
      <c r="A68" s="42" t="s">
        <v>557</v>
      </c>
      <c r="B68" s="39" t="s">
        <v>346</v>
      </c>
      <c r="C68" s="39"/>
      <c r="D68" s="38" t="s">
        <v>179</v>
      </c>
      <c r="E68" s="38" t="s">
        <v>558</v>
      </c>
      <c r="F68" s="38"/>
      <c r="G68" s="59" t="n">
        <v>25096</v>
      </c>
      <c r="H68" s="39"/>
      <c r="I68" s="39"/>
      <c r="J68" s="60"/>
      <c r="K68" s="60"/>
      <c r="L68" s="60"/>
      <c r="M68" s="60"/>
      <c r="N68" s="60"/>
      <c r="O68" s="60"/>
      <c r="P68" s="60"/>
      <c r="Q68" s="60"/>
      <c r="R68" s="60"/>
      <c r="S68" s="60"/>
      <c r="T68" s="60"/>
      <c r="U68" s="61" t="n">
        <v>608.12</v>
      </c>
      <c r="V68" s="62"/>
      <c r="W68" s="62"/>
      <c r="X68" s="62"/>
      <c r="Y68" s="62"/>
      <c r="Z68" s="62"/>
      <c r="AA68" s="60"/>
    </row>
    <row r="69" s="40" customFormat="true" ht="18.75" hidden="false" customHeight="true" outlineLevel="0" collapsed="false">
      <c r="A69" s="42" t="s">
        <v>559</v>
      </c>
      <c r="B69" s="39" t="s">
        <v>346</v>
      </c>
      <c r="C69" s="38"/>
      <c r="D69" s="38" t="s">
        <v>179</v>
      </c>
      <c r="E69" s="38" t="s">
        <v>560</v>
      </c>
      <c r="F69" s="38"/>
      <c r="G69" s="59" t="s">
        <v>561</v>
      </c>
      <c r="H69" s="39"/>
      <c r="I69" s="39"/>
      <c r="J69" s="60"/>
      <c r="K69" s="60"/>
      <c r="L69" s="60"/>
      <c r="M69" s="60"/>
      <c r="N69" s="60"/>
      <c r="O69" s="60"/>
      <c r="P69" s="60"/>
      <c r="Q69" s="60"/>
      <c r="R69" s="60"/>
      <c r="S69" s="60"/>
      <c r="T69" s="60"/>
      <c r="U69" s="61" t="n">
        <v>608.12</v>
      </c>
      <c r="V69" s="62"/>
      <c r="W69" s="62"/>
      <c r="X69" s="62"/>
      <c r="Y69" s="62"/>
      <c r="Z69" s="62"/>
      <c r="AA69" s="60"/>
    </row>
    <row r="70" s="40" customFormat="true" ht="18.75" hidden="false" customHeight="true" outlineLevel="0" collapsed="false">
      <c r="A70" s="42" t="s">
        <v>562</v>
      </c>
      <c r="B70" s="39" t="s">
        <v>236</v>
      </c>
      <c r="C70" s="38"/>
      <c r="D70" s="38" t="s">
        <v>237</v>
      </c>
      <c r="E70" s="38" t="s">
        <v>563</v>
      </c>
      <c r="F70" s="38"/>
      <c r="G70" s="59" t="n">
        <v>33585</v>
      </c>
      <c r="H70" s="39"/>
      <c r="I70" s="39"/>
      <c r="J70" s="60"/>
      <c r="K70" s="60"/>
      <c r="L70" s="60"/>
      <c r="M70" s="60"/>
      <c r="N70" s="60"/>
      <c r="O70" s="60"/>
      <c r="P70" s="60"/>
      <c r="Q70" s="60"/>
      <c r="R70" s="60"/>
      <c r="S70" s="60"/>
      <c r="T70" s="60"/>
      <c r="U70" s="61" t="n">
        <v>608.12</v>
      </c>
      <c r="V70" s="62"/>
      <c r="W70" s="62"/>
      <c r="X70" s="62"/>
      <c r="Y70" s="62"/>
      <c r="Z70" s="62"/>
      <c r="AA70" s="60"/>
    </row>
    <row r="71" s="40" customFormat="true" ht="18.75" hidden="false" customHeight="true" outlineLevel="0" collapsed="false">
      <c r="A71" s="42" t="s">
        <v>564</v>
      </c>
      <c r="B71" s="39" t="s">
        <v>236</v>
      </c>
      <c r="C71" s="38"/>
      <c r="D71" s="38" t="s">
        <v>237</v>
      </c>
      <c r="E71" s="38" t="s">
        <v>565</v>
      </c>
      <c r="F71" s="38"/>
      <c r="G71" s="59" t="s">
        <v>566</v>
      </c>
      <c r="H71" s="39"/>
      <c r="I71" s="39"/>
      <c r="J71" s="60"/>
      <c r="K71" s="60"/>
      <c r="L71" s="60"/>
      <c r="M71" s="60"/>
      <c r="N71" s="60"/>
      <c r="O71" s="60"/>
      <c r="P71" s="60"/>
      <c r="Q71" s="60"/>
      <c r="R71" s="60"/>
      <c r="S71" s="60"/>
      <c r="T71" s="60"/>
      <c r="U71" s="61" t="n">
        <v>608.12</v>
      </c>
      <c r="V71" s="62"/>
      <c r="W71" s="62"/>
      <c r="X71" s="62"/>
      <c r="Y71" s="62"/>
      <c r="Z71" s="62"/>
      <c r="AA71" s="60"/>
    </row>
    <row r="72" s="40" customFormat="true" ht="18.75" hidden="false" customHeight="true" outlineLevel="0" collapsed="false">
      <c r="A72" s="42" t="s">
        <v>567</v>
      </c>
      <c r="B72" s="39" t="s">
        <v>262</v>
      </c>
      <c r="C72" s="38"/>
      <c r="D72" s="38" t="s">
        <v>263</v>
      </c>
      <c r="E72" s="38" t="s">
        <v>568</v>
      </c>
      <c r="F72" s="38"/>
      <c r="G72" s="59" t="n">
        <v>35984</v>
      </c>
      <c r="H72" s="39"/>
      <c r="I72" s="39"/>
      <c r="J72" s="60"/>
      <c r="K72" s="60"/>
      <c r="L72" s="60"/>
      <c r="M72" s="60"/>
      <c r="N72" s="60"/>
      <c r="O72" s="60"/>
      <c r="P72" s="60"/>
      <c r="Q72" s="60"/>
      <c r="R72" s="60"/>
      <c r="S72" s="60"/>
      <c r="T72" s="60"/>
      <c r="U72" s="61" t="n">
        <v>608.12</v>
      </c>
      <c r="V72" s="62"/>
      <c r="W72" s="62"/>
      <c r="X72" s="62"/>
      <c r="Y72" s="62"/>
      <c r="Z72" s="62" t="n">
        <v>491.5</v>
      </c>
      <c r="AA72" s="60"/>
    </row>
    <row r="73" s="40" customFormat="true" ht="18.75" hidden="false" customHeight="true" outlineLevel="0" collapsed="false">
      <c r="A73" s="42" t="s">
        <v>569</v>
      </c>
      <c r="B73" s="39" t="s">
        <v>262</v>
      </c>
      <c r="C73" s="38"/>
      <c r="D73" s="38" t="s">
        <v>263</v>
      </c>
      <c r="E73" s="38" t="s">
        <v>570</v>
      </c>
      <c r="F73" s="38"/>
      <c r="G73" s="59" t="s">
        <v>571</v>
      </c>
      <c r="H73" s="39"/>
      <c r="I73" s="39"/>
      <c r="J73" s="60"/>
      <c r="K73" s="60"/>
      <c r="L73" s="60"/>
      <c r="M73" s="60"/>
      <c r="N73" s="60"/>
      <c r="O73" s="60"/>
      <c r="P73" s="60"/>
      <c r="Q73" s="60"/>
      <c r="R73" s="60"/>
      <c r="S73" s="60"/>
      <c r="T73" s="60"/>
      <c r="U73" s="61" t="n">
        <v>608.12</v>
      </c>
      <c r="V73" s="62"/>
      <c r="W73" s="62"/>
      <c r="X73" s="61"/>
      <c r="Y73" s="61"/>
      <c r="Z73" s="61" t="n">
        <v>491.5</v>
      </c>
      <c r="AA73" s="60"/>
    </row>
    <row r="74" s="40" customFormat="true" ht="18.75" hidden="false" customHeight="true" outlineLevel="0" collapsed="false">
      <c r="A74" s="42" t="s">
        <v>572</v>
      </c>
      <c r="B74" s="39" t="s">
        <v>262</v>
      </c>
      <c r="C74" s="38"/>
      <c r="D74" s="38" t="s">
        <v>263</v>
      </c>
      <c r="E74" s="38" t="s">
        <v>573</v>
      </c>
      <c r="F74" s="38"/>
      <c r="G74" s="59" t="n">
        <v>37074</v>
      </c>
      <c r="H74" s="39"/>
      <c r="I74" s="39"/>
      <c r="J74" s="60"/>
      <c r="K74" s="60"/>
      <c r="L74" s="60"/>
      <c r="M74" s="60"/>
      <c r="N74" s="60"/>
      <c r="O74" s="60"/>
      <c r="P74" s="60"/>
      <c r="Q74" s="60"/>
      <c r="R74" s="60"/>
      <c r="S74" s="60"/>
      <c r="T74" s="60"/>
      <c r="U74" s="61" t="n">
        <v>608.12</v>
      </c>
      <c r="V74" s="62"/>
      <c r="W74" s="62"/>
      <c r="X74" s="61"/>
      <c r="Y74" s="61"/>
      <c r="Z74" s="61" t="n">
        <v>491.5</v>
      </c>
      <c r="AA74" s="60"/>
    </row>
    <row r="75" s="40" customFormat="true" ht="18.75" hidden="false" customHeight="true" outlineLevel="0" collapsed="false">
      <c r="A75" s="42" t="s">
        <v>574</v>
      </c>
      <c r="B75" s="39" t="s">
        <v>262</v>
      </c>
      <c r="C75" s="38"/>
      <c r="D75" s="38" t="s">
        <v>263</v>
      </c>
      <c r="E75" s="38" t="s">
        <v>575</v>
      </c>
      <c r="F75" s="38"/>
      <c r="G75" s="59" t="s">
        <v>576</v>
      </c>
      <c r="H75" s="39"/>
      <c r="I75" s="39"/>
      <c r="J75" s="60"/>
      <c r="K75" s="60"/>
      <c r="L75" s="60"/>
      <c r="M75" s="60"/>
      <c r="N75" s="60"/>
      <c r="O75" s="60"/>
      <c r="P75" s="60"/>
      <c r="Q75" s="60"/>
      <c r="R75" s="60"/>
      <c r="S75" s="60"/>
      <c r="T75" s="60"/>
      <c r="U75" s="61" t="n">
        <v>608.12</v>
      </c>
      <c r="V75" s="62"/>
      <c r="W75" s="62"/>
      <c r="X75" s="61"/>
      <c r="Y75" s="61"/>
      <c r="Z75" s="61" t="n">
        <v>491.5</v>
      </c>
      <c r="AA75" s="60"/>
    </row>
    <row r="76" s="40" customFormat="true" ht="18.75" hidden="false" customHeight="true" outlineLevel="0" collapsed="false">
      <c r="A76" s="42" t="s">
        <v>577</v>
      </c>
      <c r="B76" s="39" t="s">
        <v>262</v>
      </c>
      <c r="C76" s="38"/>
      <c r="D76" s="38" t="s">
        <v>263</v>
      </c>
      <c r="E76" s="38" t="s">
        <v>578</v>
      </c>
      <c r="F76" s="38"/>
      <c r="G76" s="59" t="n">
        <v>33392</v>
      </c>
      <c r="H76" s="39"/>
      <c r="I76" s="39"/>
      <c r="J76" s="60"/>
      <c r="K76" s="60"/>
      <c r="L76" s="60"/>
      <c r="M76" s="60"/>
      <c r="N76" s="60"/>
      <c r="O76" s="60"/>
      <c r="P76" s="60"/>
      <c r="Q76" s="60"/>
      <c r="R76" s="60"/>
      <c r="S76" s="60"/>
      <c r="T76" s="60"/>
      <c r="U76" s="61" t="n">
        <v>608.12</v>
      </c>
      <c r="V76" s="62"/>
      <c r="W76" s="62"/>
      <c r="X76" s="61"/>
      <c r="Y76" s="61"/>
      <c r="Z76" s="61" t="n">
        <v>491.5</v>
      </c>
      <c r="AA76" s="60"/>
    </row>
    <row r="77" s="40" customFormat="true" ht="18.75" hidden="false" customHeight="true" outlineLevel="0" collapsed="false">
      <c r="A77" s="42" t="s">
        <v>579</v>
      </c>
      <c r="B77" s="39" t="s">
        <v>262</v>
      </c>
      <c r="C77" s="38"/>
      <c r="D77" s="38" t="s">
        <v>263</v>
      </c>
      <c r="E77" s="38" t="s">
        <v>580</v>
      </c>
      <c r="F77" s="38"/>
      <c r="G77" s="65" t="s">
        <v>581</v>
      </c>
      <c r="H77" s="39"/>
      <c r="I77" s="39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1" t="n">
        <v>608.12</v>
      </c>
      <c r="V77" s="62"/>
      <c r="W77" s="62"/>
      <c r="X77" s="61"/>
      <c r="Y77" s="61"/>
      <c r="Z77" s="61"/>
      <c r="AA77" s="60"/>
    </row>
    <row r="78" s="40" customFormat="true" ht="18.75" hidden="false" customHeight="true" outlineLevel="0" collapsed="false">
      <c r="A78" s="42" t="s">
        <v>582</v>
      </c>
      <c r="B78" s="39" t="s">
        <v>224</v>
      </c>
      <c r="C78" s="38"/>
      <c r="D78" s="38" t="s">
        <v>225</v>
      </c>
      <c r="E78" s="38" t="s">
        <v>583</v>
      </c>
      <c r="F78" s="38"/>
      <c r="G78" s="65" t="s">
        <v>584</v>
      </c>
      <c r="H78" s="39"/>
      <c r="I78" s="39"/>
      <c r="J78" s="60"/>
      <c r="K78" s="60"/>
      <c r="L78" s="60"/>
      <c r="M78" s="60"/>
      <c r="N78" s="60"/>
      <c r="O78" s="60"/>
      <c r="P78" s="60"/>
      <c r="Q78" s="60"/>
      <c r="R78" s="60"/>
      <c r="S78" s="60"/>
      <c r="T78" s="60"/>
      <c r="U78" s="61" t="n">
        <v>608.12</v>
      </c>
      <c r="V78" s="62"/>
      <c r="W78" s="62"/>
      <c r="X78" s="62"/>
      <c r="Y78" s="62"/>
      <c r="Z78" s="62"/>
      <c r="AA78" s="60"/>
    </row>
    <row r="79" s="40" customFormat="true" ht="18.75" hidden="false" customHeight="true" outlineLevel="0" collapsed="false">
      <c r="A79" s="42" t="s">
        <v>585</v>
      </c>
      <c r="B79" s="39" t="s">
        <v>286</v>
      </c>
      <c r="C79" s="42"/>
      <c r="D79" s="38" t="s">
        <v>287</v>
      </c>
      <c r="E79" s="38" t="s">
        <v>586</v>
      </c>
      <c r="F79" s="38"/>
      <c r="G79" s="59" t="n">
        <v>28532</v>
      </c>
      <c r="H79" s="39"/>
      <c r="I79" s="39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1" t="n">
        <v>608.12</v>
      </c>
      <c r="V79" s="62"/>
      <c r="W79" s="62"/>
      <c r="X79" s="62"/>
      <c r="Y79" s="62"/>
      <c r="Z79" s="62"/>
      <c r="AA79" s="60"/>
    </row>
    <row r="80" s="40" customFormat="true" ht="18.75" hidden="false" customHeight="true" outlineLevel="0" collapsed="false">
      <c r="A80" s="42" t="s">
        <v>587</v>
      </c>
      <c r="B80" s="39" t="s">
        <v>286</v>
      </c>
      <c r="C80" s="42"/>
      <c r="D80" s="38" t="s">
        <v>287</v>
      </c>
      <c r="E80" s="38" t="s">
        <v>588</v>
      </c>
      <c r="F80" s="38"/>
      <c r="G80" s="59" t="s">
        <v>589</v>
      </c>
      <c r="H80" s="39"/>
      <c r="I80" s="39"/>
      <c r="J80" s="60"/>
      <c r="K80" s="60"/>
      <c r="L80" s="60"/>
      <c r="M80" s="60"/>
      <c r="N80" s="60"/>
      <c r="O80" s="60"/>
      <c r="P80" s="60"/>
      <c r="Q80" s="60"/>
      <c r="R80" s="60"/>
      <c r="S80" s="60"/>
      <c r="T80" s="60"/>
      <c r="U80" s="61" t="n">
        <v>608.12</v>
      </c>
      <c r="V80" s="62"/>
      <c r="W80" s="62"/>
      <c r="X80" s="62"/>
      <c r="Y80" s="62"/>
      <c r="Z80" s="62"/>
      <c r="AA80" s="60"/>
    </row>
    <row r="81" s="40" customFormat="true" ht="18.75" hidden="false" customHeight="true" outlineLevel="0" collapsed="false">
      <c r="A81" s="42" t="s">
        <v>590</v>
      </c>
      <c r="B81" s="39" t="s">
        <v>336</v>
      </c>
      <c r="C81" s="38"/>
      <c r="D81" s="38" t="s">
        <v>337</v>
      </c>
      <c r="E81" s="38" t="s">
        <v>591</v>
      </c>
      <c r="F81" s="38"/>
      <c r="G81" s="59" t="s">
        <v>592</v>
      </c>
      <c r="H81" s="39"/>
      <c r="I81" s="39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1" t="n">
        <v>608.12</v>
      </c>
      <c r="V81" s="62"/>
      <c r="W81" s="62"/>
      <c r="X81" s="62"/>
      <c r="Y81" s="62"/>
      <c r="Z81" s="62"/>
      <c r="AA81" s="60"/>
    </row>
    <row r="82" s="40" customFormat="true" ht="18.75" hidden="false" customHeight="true" outlineLevel="0" collapsed="false">
      <c r="A82" s="42" t="s">
        <v>593</v>
      </c>
      <c r="B82" s="39" t="s">
        <v>340</v>
      </c>
      <c r="C82" s="38"/>
      <c r="D82" s="38" t="s">
        <v>341</v>
      </c>
      <c r="E82" s="38" t="s">
        <v>594</v>
      </c>
      <c r="F82" s="38"/>
      <c r="G82" s="59" t="s">
        <v>595</v>
      </c>
      <c r="H82" s="39"/>
      <c r="I82" s="39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1" t="n">
        <v>608.12</v>
      </c>
      <c r="V82" s="62"/>
      <c r="W82" s="62"/>
      <c r="X82" s="62"/>
      <c r="Y82" s="62"/>
      <c r="Z82" s="62"/>
      <c r="AA82" s="60"/>
    </row>
    <row r="83" s="40" customFormat="true" ht="18.75" hidden="false" customHeight="true" outlineLevel="0" collapsed="false">
      <c r="A83" s="42" t="s">
        <v>596</v>
      </c>
      <c r="B83" s="37" t="s">
        <v>164</v>
      </c>
      <c r="C83" s="38"/>
      <c r="D83" s="38" t="s">
        <v>165</v>
      </c>
      <c r="E83" s="38" t="s">
        <v>597</v>
      </c>
      <c r="F83" s="38"/>
      <c r="G83" s="59" t="s">
        <v>598</v>
      </c>
      <c r="H83" s="39"/>
      <c r="I83" s="39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1" t="n">
        <v>608.12</v>
      </c>
      <c r="V83" s="62"/>
      <c r="W83" s="62"/>
      <c r="X83" s="62"/>
      <c r="Y83" s="62"/>
      <c r="Z83" s="62"/>
      <c r="AA83" s="60"/>
    </row>
    <row r="84" s="40" customFormat="true" ht="18.75" hidden="false" customHeight="true" outlineLevel="0" collapsed="false">
      <c r="A84" s="42" t="s">
        <v>599</v>
      </c>
      <c r="B84" s="37" t="s">
        <v>160</v>
      </c>
      <c r="C84" s="38"/>
      <c r="D84" s="38" t="s">
        <v>161</v>
      </c>
      <c r="E84" s="38" t="s">
        <v>600</v>
      </c>
      <c r="F84" s="38"/>
      <c r="G84" s="59" t="n">
        <v>22123</v>
      </c>
      <c r="H84" s="39"/>
      <c r="I84" s="39"/>
      <c r="J84" s="60"/>
      <c r="K84" s="60"/>
      <c r="L84" s="60"/>
      <c r="M84" s="60"/>
      <c r="N84" s="60"/>
      <c r="O84" s="60"/>
      <c r="P84" s="60"/>
      <c r="Q84" s="60"/>
      <c r="R84" s="60"/>
      <c r="S84" s="60"/>
      <c r="T84" s="60"/>
      <c r="U84" s="61" t="n">
        <v>608.12</v>
      </c>
      <c r="V84" s="62"/>
      <c r="W84" s="62"/>
      <c r="X84" s="62"/>
      <c r="Y84" s="62"/>
      <c r="Z84" s="62"/>
      <c r="AA84" s="60"/>
    </row>
    <row r="85" s="40" customFormat="true" ht="18.75" hidden="false" customHeight="true" outlineLevel="0" collapsed="false">
      <c r="A85" s="42" t="s">
        <v>601</v>
      </c>
      <c r="B85" s="39" t="s">
        <v>232</v>
      </c>
      <c r="C85" s="42"/>
      <c r="D85" s="38" t="s">
        <v>233</v>
      </c>
      <c r="E85" s="38" t="s">
        <v>602</v>
      </c>
      <c r="F85" s="38"/>
      <c r="G85" s="59" t="n">
        <v>26009</v>
      </c>
      <c r="H85" s="39"/>
      <c r="I85" s="39"/>
      <c r="J85" s="60"/>
      <c r="K85" s="60"/>
      <c r="L85" s="60"/>
      <c r="M85" s="60"/>
      <c r="N85" s="60"/>
      <c r="O85" s="60"/>
      <c r="P85" s="60"/>
      <c r="Q85" s="60"/>
      <c r="R85" s="60"/>
      <c r="S85" s="60"/>
      <c r="T85" s="60"/>
      <c r="U85" s="61" t="n">
        <v>608.12</v>
      </c>
      <c r="V85" s="62"/>
      <c r="W85" s="62"/>
      <c r="X85" s="61"/>
      <c r="Y85" s="61"/>
      <c r="Z85" s="61" t="n">
        <v>260</v>
      </c>
      <c r="AA85" s="60"/>
    </row>
    <row r="86" s="40" customFormat="true" ht="18.75" hidden="false" customHeight="true" outlineLevel="0" collapsed="false">
      <c r="A86" s="42" t="s">
        <v>603</v>
      </c>
      <c r="B86" s="39" t="s">
        <v>232</v>
      </c>
      <c r="C86" s="42"/>
      <c r="D86" s="38" t="s">
        <v>233</v>
      </c>
      <c r="E86" s="38" t="s">
        <v>604</v>
      </c>
      <c r="F86" s="38"/>
      <c r="G86" s="59" t="s">
        <v>605</v>
      </c>
      <c r="H86" s="39"/>
      <c r="I86" s="39"/>
      <c r="J86" s="60"/>
      <c r="K86" s="60"/>
      <c r="L86" s="60"/>
      <c r="M86" s="60"/>
      <c r="N86" s="60"/>
      <c r="O86" s="60"/>
      <c r="P86" s="60"/>
      <c r="Q86" s="60"/>
      <c r="R86" s="60"/>
      <c r="S86" s="60"/>
      <c r="T86" s="60"/>
      <c r="U86" s="61" t="n">
        <v>608.12</v>
      </c>
      <c r="V86" s="62"/>
      <c r="W86" s="62"/>
      <c r="X86" s="61"/>
      <c r="Y86" s="61"/>
      <c r="Z86" s="61" t="n">
        <v>260</v>
      </c>
      <c r="AA86" s="60"/>
    </row>
    <row r="87" s="40" customFormat="true" ht="18.75" hidden="false" customHeight="true" outlineLevel="0" collapsed="false">
      <c r="A87" s="42" t="s">
        <v>606</v>
      </c>
      <c r="B87" s="39" t="s">
        <v>232</v>
      </c>
      <c r="C87" s="42"/>
      <c r="D87" s="38" t="s">
        <v>233</v>
      </c>
      <c r="E87" s="38" t="s">
        <v>607</v>
      </c>
      <c r="F87" s="38"/>
      <c r="G87" s="59" t="s">
        <v>608</v>
      </c>
      <c r="H87" s="39"/>
      <c r="I87" s="39"/>
      <c r="J87" s="60"/>
      <c r="K87" s="60"/>
      <c r="L87" s="60"/>
      <c r="M87" s="60"/>
      <c r="N87" s="60"/>
      <c r="O87" s="60"/>
      <c r="P87" s="60"/>
      <c r="Q87" s="60"/>
      <c r="R87" s="60"/>
      <c r="S87" s="60"/>
      <c r="T87" s="60"/>
      <c r="U87" s="61" t="n">
        <v>608.12</v>
      </c>
      <c r="V87" s="62"/>
      <c r="W87" s="62"/>
      <c r="X87" s="61"/>
      <c r="Y87" s="61"/>
      <c r="Z87" s="61" t="n">
        <v>260</v>
      </c>
      <c r="AA87" s="60"/>
    </row>
    <row r="88" s="40" customFormat="true" ht="18.75" hidden="false" customHeight="true" outlineLevel="0" collapsed="false">
      <c r="A88" s="42" t="s">
        <v>609</v>
      </c>
      <c r="B88" s="39" t="s">
        <v>232</v>
      </c>
      <c r="C88" s="42"/>
      <c r="D88" s="38" t="s">
        <v>233</v>
      </c>
      <c r="E88" s="38" t="s">
        <v>610</v>
      </c>
      <c r="F88" s="38"/>
      <c r="G88" s="59" t="s">
        <v>611</v>
      </c>
      <c r="H88" s="39"/>
      <c r="I88" s="39"/>
      <c r="J88" s="60"/>
      <c r="K88" s="60"/>
      <c r="L88" s="60"/>
      <c r="M88" s="60"/>
      <c r="N88" s="60"/>
      <c r="O88" s="60"/>
      <c r="P88" s="60"/>
      <c r="Q88" s="60"/>
      <c r="R88" s="60"/>
      <c r="S88" s="60"/>
      <c r="T88" s="60"/>
      <c r="U88" s="61" t="n">
        <v>608.12</v>
      </c>
      <c r="V88" s="62"/>
      <c r="W88" s="62"/>
      <c r="X88" s="61"/>
      <c r="Y88" s="61"/>
      <c r="Z88" s="61" t="n">
        <v>260</v>
      </c>
      <c r="AA88" s="60"/>
    </row>
    <row r="89" s="40" customFormat="true" ht="18.75" hidden="false" customHeight="true" outlineLevel="0" collapsed="false">
      <c r="A89" s="42" t="s">
        <v>612</v>
      </c>
      <c r="B89" s="39" t="s">
        <v>232</v>
      </c>
      <c r="C89" s="42"/>
      <c r="D89" s="38" t="s">
        <v>233</v>
      </c>
      <c r="E89" s="38" t="s">
        <v>613</v>
      </c>
      <c r="F89" s="38"/>
      <c r="G89" s="59" t="n">
        <v>27206</v>
      </c>
      <c r="H89" s="39"/>
      <c r="I89" s="39"/>
      <c r="J89" s="60"/>
      <c r="K89" s="60"/>
      <c r="L89" s="60"/>
      <c r="M89" s="60"/>
      <c r="N89" s="60"/>
      <c r="O89" s="60"/>
      <c r="P89" s="60"/>
      <c r="Q89" s="60"/>
      <c r="R89" s="60"/>
      <c r="S89" s="60"/>
      <c r="T89" s="60"/>
      <c r="U89" s="61" t="n">
        <v>608.12</v>
      </c>
      <c r="V89" s="62"/>
      <c r="W89" s="62"/>
      <c r="X89" s="61"/>
      <c r="Y89" s="61"/>
      <c r="Z89" s="61" t="n">
        <v>260</v>
      </c>
      <c r="AA89" s="60"/>
    </row>
    <row r="90" s="40" customFormat="true" ht="18.75" hidden="false" customHeight="true" outlineLevel="0" collapsed="false">
      <c r="A90" s="42" t="s">
        <v>614</v>
      </c>
      <c r="B90" s="39" t="s">
        <v>232</v>
      </c>
      <c r="C90" s="42"/>
      <c r="D90" s="38" t="s">
        <v>233</v>
      </c>
      <c r="E90" s="38" t="s">
        <v>615</v>
      </c>
      <c r="F90" s="38"/>
      <c r="G90" s="59" t="s">
        <v>616</v>
      </c>
      <c r="H90" s="39"/>
      <c r="I90" s="39"/>
      <c r="J90" s="60"/>
      <c r="K90" s="60"/>
      <c r="L90" s="60"/>
      <c r="M90" s="60"/>
      <c r="N90" s="60"/>
      <c r="O90" s="60"/>
      <c r="P90" s="60"/>
      <c r="Q90" s="60"/>
      <c r="R90" s="60"/>
      <c r="S90" s="60"/>
      <c r="T90" s="60"/>
      <c r="U90" s="61" t="n">
        <v>608.12</v>
      </c>
      <c r="V90" s="62"/>
      <c r="W90" s="62"/>
      <c r="X90" s="61"/>
      <c r="Y90" s="61"/>
      <c r="Z90" s="61" t="n">
        <v>260</v>
      </c>
      <c r="AA90" s="60"/>
    </row>
    <row r="91" s="40" customFormat="true" ht="18.75" hidden="false" customHeight="true" outlineLevel="0" collapsed="false">
      <c r="A91" s="42" t="s">
        <v>617</v>
      </c>
      <c r="B91" s="39" t="s">
        <v>232</v>
      </c>
      <c r="C91" s="42"/>
      <c r="D91" s="38" t="s">
        <v>233</v>
      </c>
      <c r="E91" s="38" t="s">
        <v>618</v>
      </c>
      <c r="F91" s="38"/>
      <c r="G91" s="59" t="n">
        <v>27861</v>
      </c>
      <c r="H91" s="39"/>
      <c r="I91" s="39"/>
      <c r="J91" s="60"/>
      <c r="K91" s="60"/>
      <c r="L91" s="60"/>
      <c r="M91" s="60"/>
      <c r="N91" s="60"/>
      <c r="O91" s="60"/>
      <c r="P91" s="60"/>
      <c r="Q91" s="60"/>
      <c r="R91" s="60"/>
      <c r="S91" s="60"/>
      <c r="T91" s="60"/>
      <c r="U91" s="61" t="n">
        <v>608.12</v>
      </c>
      <c r="V91" s="62"/>
      <c r="W91" s="62"/>
      <c r="X91" s="61"/>
      <c r="Y91" s="61"/>
      <c r="Z91" s="61" t="n">
        <v>260</v>
      </c>
      <c r="AA91" s="60"/>
    </row>
    <row r="92" s="40" customFormat="true" ht="18.75" hidden="false" customHeight="true" outlineLevel="0" collapsed="false">
      <c r="A92" s="42" t="s">
        <v>619</v>
      </c>
      <c r="B92" s="39" t="s">
        <v>232</v>
      </c>
      <c r="C92" s="42"/>
      <c r="D92" s="38" t="s">
        <v>233</v>
      </c>
      <c r="E92" s="38" t="s">
        <v>620</v>
      </c>
      <c r="F92" s="38"/>
      <c r="G92" s="65" t="n">
        <v>35682</v>
      </c>
      <c r="H92" s="39"/>
      <c r="I92" s="39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  <c r="U92" s="61" t="n">
        <v>608.12</v>
      </c>
      <c r="V92" s="62"/>
      <c r="W92" s="62"/>
      <c r="X92" s="61"/>
      <c r="Y92" s="61"/>
      <c r="Z92" s="61" t="n">
        <v>260</v>
      </c>
      <c r="AA92" s="60"/>
    </row>
    <row r="93" s="40" customFormat="true" ht="18.75" hidden="false" customHeight="true" outlineLevel="0" collapsed="false">
      <c r="A93" s="42" t="s">
        <v>621</v>
      </c>
      <c r="B93" s="39" t="s">
        <v>232</v>
      </c>
      <c r="C93" s="39"/>
      <c r="D93" s="38" t="s">
        <v>233</v>
      </c>
      <c r="E93" s="38" t="s">
        <v>622</v>
      </c>
      <c r="F93" s="38"/>
      <c r="G93" s="59" t="n">
        <v>35057</v>
      </c>
      <c r="H93" s="39"/>
      <c r="I93" s="39"/>
      <c r="J93" s="60"/>
      <c r="K93" s="64"/>
      <c r="L93" s="60"/>
      <c r="M93" s="60"/>
      <c r="N93" s="60"/>
      <c r="O93" s="60"/>
      <c r="P93" s="60"/>
      <c r="Q93" s="60"/>
      <c r="R93" s="60"/>
      <c r="S93" s="60"/>
      <c r="T93" s="60"/>
      <c r="U93" s="61" t="n">
        <v>608.12</v>
      </c>
      <c r="V93" s="62"/>
      <c r="W93" s="62"/>
      <c r="X93" s="61"/>
      <c r="Y93" s="61"/>
      <c r="Z93" s="61" t="n">
        <v>260</v>
      </c>
      <c r="AA93" s="60"/>
    </row>
    <row r="94" s="40" customFormat="true" ht="18.75" hidden="false" customHeight="true" outlineLevel="0" collapsed="false">
      <c r="A94" s="42" t="s">
        <v>623</v>
      </c>
      <c r="B94" s="37" t="n">
        <v>54347562000135</v>
      </c>
      <c r="C94" s="38"/>
      <c r="D94" s="38" t="s">
        <v>155</v>
      </c>
      <c r="E94" s="38" t="s">
        <v>624</v>
      </c>
      <c r="F94" s="38"/>
      <c r="G94" s="59" t="n">
        <v>2320</v>
      </c>
      <c r="H94" s="39"/>
      <c r="I94" s="39"/>
      <c r="J94" s="60"/>
      <c r="K94" s="60"/>
      <c r="L94" s="60"/>
      <c r="M94" s="60"/>
      <c r="N94" s="60"/>
      <c r="O94" s="60"/>
      <c r="P94" s="60"/>
      <c r="Q94" s="60"/>
      <c r="R94" s="60"/>
      <c r="S94" s="60"/>
      <c r="T94" s="60"/>
      <c r="U94" s="61" t="n">
        <v>608.12</v>
      </c>
      <c r="V94" s="62"/>
      <c r="W94" s="62"/>
      <c r="X94" s="62"/>
      <c r="Y94" s="62"/>
      <c r="Z94" s="62"/>
      <c r="AA94" s="60"/>
    </row>
    <row r="95" s="40" customFormat="true" ht="18.75" hidden="false" customHeight="true" outlineLevel="0" collapsed="false">
      <c r="A95" s="42" t="s">
        <v>625</v>
      </c>
      <c r="B95" s="39" t="s">
        <v>322</v>
      </c>
      <c r="C95" s="42"/>
      <c r="D95" s="38" t="s">
        <v>323</v>
      </c>
      <c r="E95" s="38" t="s">
        <v>626</v>
      </c>
      <c r="F95" s="38"/>
      <c r="G95" s="59" t="s">
        <v>627</v>
      </c>
      <c r="H95" s="39"/>
      <c r="I95" s="39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1" t="n">
        <v>608.12</v>
      </c>
      <c r="V95" s="62"/>
      <c r="W95" s="62"/>
      <c r="X95" s="62"/>
      <c r="Y95" s="62"/>
      <c r="Z95" s="62"/>
      <c r="AA95" s="60"/>
    </row>
    <row r="96" s="40" customFormat="true" ht="18.75" hidden="false" customHeight="true" outlineLevel="0" collapsed="false">
      <c r="A96" s="42" t="s">
        <v>628</v>
      </c>
      <c r="B96" s="38" t="s">
        <v>272</v>
      </c>
      <c r="C96" s="42"/>
      <c r="D96" s="38" t="s">
        <v>273</v>
      </c>
      <c r="E96" s="38" t="s">
        <v>629</v>
      </c>
      <c r="F96" s="38"/>
      <c r="G96" s="59" t="s">
        <v>630</v>
      </c>
      <c r="H96" s="39"/>
      <c r="I96" s="39"/>
      <c r="J96" s="60"/>
      <c r="K96" s="60"/>
      <c r="L96" s="60"/>
      <c r="M96" s="60"/>
      <c r="N96" s="60"/>
      <c r="O96" s="60"/>
      <c r="P96" s="60"/>
      <c r="Q96" s="60"/>
      <c r="R96" s="60"/>
      <c r="S96" s="60"/>
      <c r="T96" s="60"/>
      <c r="U96" s="61" t="n">
        <v>608.12</v>
      </c>
      <c r="V96" s="62"/>
      <c r="W96" s="62"/>
      <c r="X96" s="62"/>
      <c r="Y96" s="62"/>
      <c r="Z96" s="62"/>
      <c r="AA96" s="60"/>
    </row>
    <row r="97" s="40" customFormat="true" ht="18.75" hidden="false" customHeight="true" outlineLevel="0" collapsed="false">
      <c r="A97" s="42" t="s">
        <v>631</v>
      </c>
      <c r="B97" s="38" t="s">
        <v>298</v>
      </c>
      <c r="C97" s="42"/>
      <c r="D97" s="38" t="s">
        <v>299</v>
      </c>
      <c r="E97" s="38" t="s">
        <v>632</v>
      </c>
      <c r="F97" s="38"/>
      <c r="G97" s="59" t="n">
        <v>26358</v>
      </c>
      <c r="H97" s="39"/>
      <c r="I97" s="39"/>
      <c r="J97" s="60"/>
      <c r="K97" s="60"/>
      <c r="L97" s="60"/>
      <c r="M97" s="60"/>
      <c r="N97" s="60"/>
      <c r="O97" s="60"/>
      <c r="P97" s="60"/>
      <c r="Q97" s="60"/>
      <c r="R97" s="60"/>
      <c r="S97" s="60"/>
      <c r="T97" s="60"/>
      <c r="U97" s="61" t="n">
        <v>608.12</v>
      </c>
      <c r="V97" s="62"/>
      <c r="W97" s="62"/>
      <c r="X97" s="62"/>
      <c r="Y97" s="62"/>
      <c r="Z97" s="62"/>
      <c r="AA97" s="60"/>
    </row>
    <row r="98" s="40" customFormat="true" ht="18.75" hidden="false" customHeight="true" outlineLevel="0" collapsed="false">
      <c r="A98" s="42" t="s">
        <v>633</v>
      </c>
      <c r="B98" s="39" t="s">
        <v>240</v>
      </c>
      <c r="C98" s="42"/>
      <c r="D98" s="38" t="s">
        <v>241</v>
      </c>
      <c r="E98" s="38" t="s">
        <v>634</v>
      </c>
      <c r="F98" s="38"/>
      <c r="G98" s="59" t="s">
        <v>635</v>
      </c>
      <c r="H98" s="39"/>
      <c r="I98" s="39"/>
      <c r="J98" s="60"/>
      <c r="K98" s="60"/>
      <c r="L98" s="60"/>
      <c r="M98" s="60"/>
      <c r="N98" s="60"/>
      <c r="O98" s="60"/>
      <c r="P98" s="60"/>
      <c r="Q98" s="60"/>
      <c r="R98" s="60"/>
      <c r="S98" s="60"/>
      <c r="T98" s="60"/>
      <c r="U98" s="61" t="n">
        <v>608.12</v>
      </c>
      <c r="V98" s="62"/>
      <c r="W98" s="62"/>
      <c r="X98" s="62"/>
      <c r="Y98" s="62"/>
      <c r="Z98" s="62"/>
      <c r="AA98" s="60"/>
    </row>
    <row r="99" s="40" customFormat="true" ht="18.75" hidden="false" customHeight="true" outlineLevel="0" collapsed="false">
      <c r="A99" s="39" t="s">
        <v>636</v>
      </c>
      <c r="B99" s="43" t="s">
        <v>349</v>
      </c>
      <c r="C99" s="39"/>
      <c r="D99" s="43" t="s">
        <v>350</v>
      </c>
      <c r="E99" s="39" t="s">
        <v>637</v>
      </c>
      <c r="F99" s="38"/>
      <c r="G99" s="70" t="s">
        <v>638</v>
      </c>
      <c r="H99" s="39"/>
      <c r="I99" s="39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2" t="n">
        <v>608.12</v>
      </c>
      <c r="V99" s="62"/>
      <c r="W99" s="62"/>
      <c r="X99" s="62"/>
      <c r="Y99" s="62"/>
      <c r="Z99" s="62"/>
      <c r="AA99" s="60"/>
    </row>
    <row r="100" s="40" customFormat="true" ht="18.75" hidden="false" customHeight="true" outlineLevel="0" collapsed="false">
      <c r="A100" s="42" t="s">
        <v>639</v>
      </c>
      <c r="B100" s="39" t="s">
        <v>349</v>
      </c>
      <c r="C100" s="42"/>
      <c r="D100" s="38" t="s">
        <v>350</v>
      </c>
      <c r="E100" s="38" t="s">
        <v>640</v>
      </c>
      <c r="F100" s="38"/>
      <c r="G100" s="59" t="s">
        <v>641</v>
      </c>
      <c r="H100" s="39"/>
      <c r="I100" s="39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1" t="n">
        <v>608.12</v>
      </c>
      <c r="V100" s="62"/>
      <c r="W100" s="62"/>
      <c r="X100" s="62"/>
      <c r="Y100" s="62"/>
      <c r="Z100" s="62"/>
      <c r="AA100" s="60"/>
    </row>
    <row r="101" s="40" customFormat="true" ht="18.75" hidden="false" customHeight="true" outlineLevel="0" collapsed="false">
      <c r="A101" s="42" t="s">
        <v>642</v>
      </c>
      <c r="B101" s="39" t="s">
        <v>349</v>
      </c>
      <c r="C101" s="42"/>
      <c r="D101" s="38" t="s">
        <v>350</v>
      </c>
      <c r="E101" s="38" t="s">
        <v>643</v>
      </c>
      <c r="F101" s="38"/>
      <c r="G101" s="59" t="s">
        <v>644</v>
      </c>
      <c r="H101" s="39"/>
      <c r="I101" s="39"/>
      <c r="J101" s="60"/>
      <c r="K101" s="60"/>
      <c r="L101" s="60"/>
      <c r="M101" s="60"/>
      <c r="N101" s="60"/>
      <c r="O101" s="60"/>
      <c r="P101" s="60"/>
      <c r="Q101" s="60"/>
      <c r="R101" s="60"/>
      <c r="S101" s="60"/>
      <c r="T101" s="60"/>
      <c r="U101" s="61" t="n">
        <v>608.12</v>
      </c>
      <c r="V101" s="62"/>
      <c r="W101" s="62"/>
      <c r="X101" s="62"/>
      <c r="Y101" s="62"/>
      <c r="Z101" s="62"/>
      <c r="AA101" s="60"/>
    </row>
    <row r="102" s="40" customFormat="true" ht="18.75" hidden="false" customHeight="true" outlineLevel="0" collapsed="false">
      <c r="A102" s="42" t="s">
        <v>645</v>
      </c>
      <c r="B102" s="39" t="s">
        <v>349</v>
      </c>
      <c r="C102" s="42"/>
      <c r="D102" s="38" t="s">
        <v>350</v>
      </c>
      <c r="E102" s="38" t="s">
        <v>646</v>
      </c>
      <c r="F102" s="38"/>
      <c r="G102" s="59" t="n">
        <v>35813</v>
      </c>
      <c r="H102" s="39"/>
      <c r="I102" s="39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1" t="n">
        <v>608.12</v>
      </c>
      <c r="V102" s="62"/>
      <c r="W102" s="62"/>
      <c r="X102" s="62"/>
      <c r="Y102" s="62"/>
      <c r="Z102" s="62"/>
      <c r="AA102" s="60"/>
    </row>
    <row r="103" s="40" customFormat="true" ht="18.75" hidden="false" customHeight="true" outlineLevel="0" collapsed="false">
      <c r="A103" s="42" t="s">
        <v>647</v>
      </c>
      <c r="B103" s="39" t="s">
        <v>349</v>
      </c>
      <c r="C103" s="42"/>
      <c r="D103" s="38" t="s">
        <v>350</v>
      </c>
      <c r="E103" s="38" t="s">
        <v>648</v>
      </c>
      <c r="F103" s="38"/>
      <c r="G103" s="59" t="n">
        <v>25963</v>
      </c>
      <c r="H103" s="39"/>
      <c r="I103" s="39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1" t="n">
        <v>608.12</v>
      </c>
      <c r="V103" s="62"/>
      <c r="W103" s="62"/>
      <c r="X103" s="62"/>
      <c r="Y103" s="62"/>
      <c r="Z103" s="62"/>
      <c r="AA103" s="60"/>
    </row>
    <row r="104" s="40" customFormat="true" ht="18.75" hidden="false" customHeight="true" outlineLevel="0" collapsed="false">
      <c r="A104" s="42" t="s">
        <v>649</v>
      </c>
      <c r="B104" s="39" t="s">
        <v>349</v>
      </c>
      <c r="C104" s="42"/>
      <c r="D104" s="38" t="s">
        <v>350</v>
      </c>
      <c r="E104" s="38" t="s">
        <v>650</v>
      </c>
      <c r="F104" s="38"/>
      <c r="G104" s="59" t="s">
        <v>651</v>
      </c>
      <c r="H104" s="39"/>
      <c r="I104" s="39"/>
      <c r="J104" s="60"/>
      <c r="K104" s="60"/>
      <c r="L104" s="60"/>
      <c r="M104" s="60"/>
      <c r="N104" s="60"/>
      <c r="O104" s="60"/>
      <c r="P104" s="60"/>
      <c r="Q104" s="60"/>
      <c r="R104" s="60"/>
      <c r="S104" s="60"/>
      <c r="T104" s="60"/>
      <c r="U104" s="61" t="n">
        <v>608.12</v>
      </c>
      <c r="V104" s="62"/>
      <c r="W104" s="62"/>
      <c r="X104" s="62"/>
      <c r="Y104" s="62"/>
      <c r="Z104" s="62"/>
      <c r="AA104" s="60"/>
    </row>
    <row r="105" s="40" customFormat="true" ht="18.75" hidden="false" customHeight="true" outlineLevel="0" collapsed="false">
      <c r="A105" s="42" t="s">
        <v>652</v>
      </c>
      <c r="B105" s="39" t="s">
        <v>349</v>
      </c>
      <c r="C105" s="42"/>
      <c r="D105" s="38" t="s">
        <v>350</v>
      </c>
      <c r="E105" s="38" t="s">
        <v>653</v>
      </c>
      <c r="F105" s="38"/>
      <c r="G105" s="59" t="n">
        <v>27537</v>
      </c>
      <c r="H105" s="39"/>
      <c r="I105" s="39"/>
      <c r="J105" s="60"/>
      <c r="K105" s="64"/>
      <c r="L105" s="60"/>
      <c r="M105" s="60"/>
      <c r="N105" s="60"/>
      <c r="O105" s="60"/>
      <c r="P105" s="60"/>
      <c r="Q105" s="60"/>
      <c r="R105" s="60"/>
      <c r="S105" s="60"/>
      <c r="T105" s="60"/>
      <c r="U105" s="61" t="n">
        <v>1216.24</v>
      </c>
      <c r="V105" s="62"/>
      <c r="W105" s="62"/>
      <c r="X105" s="62"/>
      <c r="Y105" s="62"/>
      <c r="Z105" s="62"/>
      <c r="AA105" s="60"/>
    </row>
    <row r="106" s="40" customFormat="true" ht="18.75" hidden="false" customHeight="true" outlineLevel="0" collapsed="false">
      <c r="A106" s="42" t="s">
        <v>654</v>
      </c>
      <c r="B106" s="39" t="s">
        <v>349</v>
      </c>
      <c r="C106" s="42"/>
      <c r="D106" s="38" t="s">
        <v>350</v>
      </c>
      <c r="E106" s="38" t="s">
        <v>655</v>
      </c>
      <c r="F106" s="38"/>
      <c r="G106" s="59" t="s">
        <v>656</v>
      </c>
      <c r="H106" s="39"/>
      <c r="I106" s="39"/>
      <c r="J106" s="60"/>
      <c r="K106" s="60"/>
      <c r="L106" s="60"/>
      <c r="M106" s="60"/>
      <c r="N106" s="60"/>
      <c r="O106" s="60"/>
      <c r="P106" s="60"/>
      <c r="Q106" s="60"/>
      <c r="R106" s="60"/>
      <c r="S106" s="60"/>
      <c r="T106" s="60"/>
      <c r="U106" s="61" t="n">
        <v>1216.24</v>
      </c>
      <c r="V106" s="62"/>
      <c r="W106" s="62"/>
      <c r="X106" s="62"/>
      <c r="Y106" s="62"/>
      <c r="Z106" s="62"/>
      <c r="AA106" s="60"/>
    </row>
    <row r="107" s="40" customFormat="true" ht="18.75" hidden="false" customHeight="true" outlineLevel="0" collapsed="false">
      <c r="A107" s="42" t="s">
        <v>657</v>
      </c>
      <c r="B107" s="39" t="s">
        <v>230</v>
      </c>
      <c r="C107" s="42"/>
      <c r="D107" s="38" t="s">
        <v>231</v>
      </c>
      <c r="E107" s="43" t="s">
        <v>658</v>
      </c>
      <c r="F107" s="38"/>
      <c r="G107" s="59" t="n">
        <v>33815</v>
      </c>
      <c r="H107" s="39"/>
      <c r="I107" s="39"/>
      <c r="J107" s="60"/>
      <c r="K107" s="60"/>
      <c r="L107" s="60"/>
      <c r="M107" s="60"/>
      <c r="N107" s="60"/>
      <c r="O107" s="60"/>
      <c r="P107" s="60"/>
      <c r="Q107" s="60"/>
      <c r="R107" s="60"/>
      <c r="S107" s="60"/>
      <c r="T107" s="60"/>
      <c r="U107" s="61" t="n">
        <v>608.12</v>
      </c>
      <c r="X107" s="62"/>
      <c r="Y107" s="62"/>
      <c r="Z107" s="62"/>
      <c r="AA107" s="60"/>
    </row>
    <row r="108" s="40" customFormat="true" ht="18.75" hidden="false" customHeight="true" outlineLevel="0" collapsed="false">
      <c r="A108" s="42" t="s">
        <v>659</v>
      </c>
      <c r="B108" s="39" t="s">
        <v>230</v>
      </c>
      <c r="C108" s="42"/>
      <c r="D108" s="38" t="s">
        <v>231</v>
      </c>
      <c r="E108" s="38" t="s">
        <v>660</v>
      </c>
      <c r="F108" s="38"/>
      <c r="G108" s="59" t="s">
        <v>661</v>
      </c>
      <c r="H108" s="39"/>
      <c r="I108" s="39"/>
      <c r="J108" s="60"/>
      <c r="K108" s="60"/>
      <c r="L108" s="60"/>
      <c r="M108" s="60"/>
      <c r="N108" s="60"/>
      <c r="O108" s="60"/>
      <c r="P108" s="60"/>
      <c r="Q108" s="60"/>
      <c r="R108" s="60"/>
      <c r="S108" s="60"/>
      <c r="T108" s="60"/>
      <c r="U108" s="61" t="n">
        <v>608.12</v>
      </c>
      <c r="V108" s="62"/>
      <c r="W108" s="62"/>
      <c r="X108" s="62"/>
      <c r="Y108" s="62"/>
      <c r="Z108" s="62"/>
      <c r="AA108" s="60"/>
    </row>
    <row r="109" s="40" customFormat="true" ht="18.75" hidden="false" customHeight="true" outlineLevel="0" collapsed="false">
      <c r="A109" s="42" t="s">
        <v>662</v>
      </c>
      <c r="B109" s="39" t="s">
        <v>230</v>
      </c>
      <c r="C109" s="42"/>
      <c r="D109" s="38" t="s">
        <v>231</v>
      </c>
      <c r="E109" s="38" t="s">
        <v>663</v>
      </c>
      <c r="F109" s="38"/>
      <c r="G109" s="59" t="n">
        <v>33107</v>
      </c>
      <c r="H109" s="39"/>
      <c r="I109" s="39"/>
      <c r="J109" s="60"/>
      <c r="K109" s="60"/>
      <c r="L109" s="60"/>
      <c r="M109" s="60"/>
      <c r="N109" s="60"/>
      <c r="O109" s="60"/>
      <c r="P109" s="60"/>
      <c r="Q109" s="60"/>
      <c r="R109" s="60"/>
      <c r="S109" s="60"/>
      <c r="T109" s="60"/>
      <c r="U109" s="61" t="n">
        <v>608.12</v>
      </c>
      <c r="V109" s="62"/>
      <c r="W109" s="62"/>
      <c r="X109" s="62"/>
      <c r="Y109" s="62"/>
      <c r="Z109" s="62"/>
      <c r="AA109" s="60"/>
    </row>
    <row r="110" s="40" customFormat="true" ht="18.75" hidden="false" customHeight="true" outlineLevel="0" collapsed="false">
      <c r="A110" s="71" t="s">
        <v>664</v>
      </c>
      <c r="B110" s="39" t="s">
        <v>230</v>
      </c>
      <c r="C110" s="42"/>
      <c r="D110" s="38" t="s">
        <v>231</v>
      </c>
      <c r="E110" s="43" t="s">
        <v>665</v>
      </c>
      <c r="F110" s="38"/>
      <c r="G110" s="59" t="n">
        <v>33072</v>
      </c>
      <c r="H110" s="39"/>
      <c r="I110" s="39"/>
      <c r="J110" s="60"/>
      <c r="K110" s="60"/>
      <c r="L110" s="60"/>
      <c r="M110" s="60"/>
      <c r="N110" s="60"/>
      <c r="O110" s="60"/>
      <c r="P110" s="60"/>
      <c r="Q110" s="60"/>
      <c r="R110" s="60"/>
      <c r="S110" s="60"/>
      <c r="T110" s="60"/>
      <c r="U110" s="61" t="n">
        <v>608.12</v>
      </c>
      <c r="V110" s="62"/>
      <c r="W110" s="62"/>
      <c r="X110" s="62"/>
      <c r="Y110" s="62"/>
      <c r="Z110" s="62"/>
      <c r="AA110" s="60"/>
    </row>
    <row r="111" s="40" customFormat="true" ht="18.75" hidden="false" customHeight="true" outlineLevel="0" collapsed="false">
      <c r="A111" s="71" t="s">
        <v>666</v>
      </c>
      <c r="B111" s="39" t="s">
        <v>230</v>
      </c>
      <c r="C111" s="42"/>
      <c r="D111" s="38" t="s">
        <v>231</v>
      </c>
      <c r="E111" s="43" t="s">
        <v>667</v>
      </c>
      <c r="F111" s="38"/>
      <c r="G111" s="59" t="n">
        <v>31683</v>
      </c>
      <c r="H111" s="39"/>
      <c r="I111" s="39"/>
      <c r="J111" s="60"/>
      <c r="K111" s="60"/>
      <c r="L111" s="60"/>
      <c r="M111" s="60"/>
      <c r="N111" s="60"/>
      <c r="O111" s="60"/>
      <c r="P111" s="60"/>
      <c r="Q111" s="60"/>
      <c r="R111" s="60"/>
      <c r="S111" s="60"/>
      <c r="T111" s="60"/>
      <c r="U111" s="61" t="n">
        <v>608.12</v>
      </c>
      <c r="V111" s="62"/>
      <c r="W111" s="62"/>
      <c r="X111" s="62"/>
      <c r="Y111" s="62"/>
      <c r="Z111" s="62"/>
      <c r="AA111" s="60"/>
    </row>
    <row r="112" s="40" customFormat="true" ht="18.75" hidden="false" customHeight="true" outlineLevel="0" collapsed="false">
      <c r="A112" s="66" t="s">
        <v>668</v>
      </c>
      <c r="B112" s="38" t="s">
        <v>234</v>
      </c>
      <c r="C112" s="38"/>
      <c r="D112" s="38" t="s">
        <v>235</v>
      </c>
      <c r="E112" s="38" t="s">
        <v>669</v>
      </c>
      <c r="F112" s="38"/>
      <c r="G112" s="59" t="n">
        <v>33634</v>
      </c>
      <c r="H112" s="39"/>
      <c r="I112" s="39"/>
      <c r="J112" s="60"/>
      <c r="K112" s="60"/>
      <c r="L112" s="60"/>
      <c r="M112" s="60"/>
      <c r="N112" s="60"/>
      <c r="O112" s="60"/>
      <c r="P112" s="60"/>
      <c r="Q112" s="60"/>
      <c r="R112" s="60"/>
      <c r="S112" s="60"/>
      <c r="T112" s="60"/>
      <c r="U112" s="61" t="n">
        <v>608.12</v>
      </c>
      <c r="V112" s="62"/>
      <c r="W112" s="62"/>
      <c r="X112" s="62"/>
      <c r="Y112" s="62"/>
      <c r="Z112" s="62"/>
      <c r="AA112" s="60"/>
    </row>
    <row r="113" s="40" customFormat="true" ht="18.75" hidden="false" customHeight="true" outlineLevel="0" collapsed="false">
      <c r="A113" s="66" t="s">
        <v>670</v>
      </c>
      <c r="B113" s="38" t="s">
        <v>234</v>
      </c>
      <c r="C113" s="42"/>
      <c r="D113" s="38" t="s">
        <v>235</v>
      </c>
      <c r="E113" s="38" t="s">
        <v>671</v>
      </c>
      <c r="F113" s="38"/>
      <c r="G113" s="59" t="n">
        <v>33640</v>
      </c>
      <c r="H113" s="39"/>
      <c r="I113" s="39"/>
      <c r="J113" s="60"/>
      <c r="K113" s="60"/>
      <c r="L113" s="60"/>
      <c r="M113" s="60"/>
      <c r="N113" s="60"/>
      <c r="O113" s="60"/>
      <c r="P113" s="60"/>
      <c r="Q113" s="60"/>
      <c r="R113" s="60"/>
      <c r="S113" s="60"/>
      <c r="T113" s="60"/>
      <c r="U113" s="61" t="n">
        <v>608.12</v>
      </c>
      <c r="V113" s="62"/>
      <c r="W113" s="62"/>
      <c r="X113" s="62"/>
      <c r="Y113" s="62"/>
      <c r="Z113" s="62"/>
      <c r="AA113" s="60"/>
    </row>
    <row r="114" s="40" customFormat="true" ht="18.75" hidden="false" customHeight="true" outlineLevel="0" collapsed="false">
      <c r="A114" s="73" t="s">
        <v>672</v>
      </c>
      <c r="B114" s="38" t="s">
        <v>234</v>
      </c>
      <c r="C114" s="42"/>
      <c r="D114" s="38" t="s">
        <v>235</v>
      </c>
      <c r="E114" s="38" t="s">
        <v>673</v>
      </c>
      <c r="F114" s="38"/>
      <c r="G114" s="59" t="n">
        <v>28206</v>
      </c>
      <c r="H114" s="39"/>
      <c r="I114" s="39"/>
      <c r="J114" s="60"/>
      <c r="K114" s="60"/>
      <c r="L114" s="60"/>
      <c r="M114" s="60"/>
      <c r="N114" s="60"/>
      <c r="O114" s="60"/>
      <c r="P114" s="60"/>
      <c r="Q114" s="60"/>
      <c r="R114" s="60"/>
      <c r="S114" s="60"/>
      <c r="T114" s="60"/>
      <c r="U114" s="61" t="n">
        <v>608.12</v>
      </c>
      <c r="V114" s="62"/>
      <c r="W114" s="62"/>
      <c r="X114" s="62"/>
      <c r="Y114" s="62"/>
      <c r="Z114" s="62"/>
      <c r="AA114" s="60"/>
    </row>
    <row r="115" s="40" customFormat="true" ht="18.75" hidden="false" customHeight="true" outlineLevel="0" collapsed="false">
      <c r="A115" s="74" t="s">
        <v>674</v>
      </c>
      <c r="B115" s="38" t="s">
        <v>234</v>
      </c>
      <c r="C115" s="42"/>
      <c r="D115" s="38" t="s">
        <v>235</v>
      </c>
      <c r="E115" s="38" t="s">
        <v>675</v>
      </c>
      <c r="F115" s="38"/>
      <c r="G115" s="59" t="n">
        <v>24945</v>
      </c>
      <c r="H115" s="39"/>
      <c r="I115" s="39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1" t="n">
        <v>608.12</v>
      </c>
      <c r="V115" s="62"/>
      <c r="W115" s="62"/>
      <c r="X115" s="62"/>
      <c r="Y115" s="62"/>
      <c r="Z115" s="62"/>
      <c r="AA115" s="60"/>
      <c r="XEN115" s="32"/>
      <c r="XEO115" s="32"/>
      <c r="XEP115" s="32"/>
      <c r="XEQ115" s="32"/>
      <c r="XER115" s="32"/>
      <c r="XES115" s="32"/>
      <c r="XET115" s="32"/>
      <c r="XEU115" s="32"/>
      <c r="XEV115" s="32"/>
      <c r="XEW115" s="32"/>
      <c r="XEX115" s="32"/>
      <c r="XEY115" s="32"/>
      <c r="XEZ115" s="32"/>
      <c r="XFA115" s="32"/>
      <c r="XFB115" s="32"/>
      <c r="XFC115" s="32"/>
      <c r="XFD115" s="32"/>
    </row>
    <row r="116" s="40" customFormat="true" ht="18.75" hidden="false" customHeight="true" outlineLevel="0" collapsed="false">
      <c r="A116" s="73" t="s">
        <v>676</v>
      </c>
      <c r="B116" s="38" t="s">
        <v>234</v>
      </c>
      <c r="C116" s="42"/>
      <c r="D116" s="38" t="s">
        <v>235</v>
      </c>
      <c r="E116" s="38" t="s">
        <v>677</v>
      </c>
      <c r="F116" s="38"/>
      <c r="G116" s="59" t="n">
        <v>32972</v>
      </c>
      <c r="H116" s="39"/>
      <c r="I116" s="39"/>
      <c r="J116" s="60"/>
      <c r="K116" s="60"/>
      <c r="L116" s="60"/>
      <c r="M116" s="60"/>
      <c r="N116" s="60"/>
      <c r="O116" s="60"/>
      <c r="P116" s="60"/>
      <c r="Q116" s="60"/>
      <c r="R116" s="60"/>
      <c r="S116" s="60"/>
      <c r="T116" s="60"/>
      <c r="U116" s="61" t="n">
        <v>608.12</v>
      </c>
      <c r="V116" s="62"/>
      <c r="W116" s="62"/>
      <c r="X116" s="62"/>
      <c r="Y116" s="62"/>
      <c r="Z116" s="62"/>
      <c r="AA116" s="60"/>
      <c r="XEN116" s="32"/>
      <c r="XEO116" s="32"/>
      <c r="XEP116" s="32"/>
      <c r="XEQ116" s="32"/>
      <c r="XER116" s="32"/>
      <c r="XES116" s="32"/>
      <c r="XET116" s="32"/>
      <c r="XEU116" s="32"/>
      <c r="XEV116" s="32"/>
      <c r="XEW116" s="32"/>
      <c r="XEX116" s="32"/>
      <c r="XEY116" s="32"/>
      <c r="XEZ116" s="32"/>
      <c r="XFA116" s="32"/>
      <c r="XFB116" s="32"/>
      <c r="XFC116" s="32"/>
      <c r="XFD116" s="32"/>
    </row>
    <row r="117" s="40" customFormat="true" ht="18.75" hidden="false" customHeight="true" outlineLevel="0" collapsed="false">
      <c r="A117" s="66" t="s">
        <v>678</v>
      </c>
      <c r="B117" s="38" t="s">
        <v>234</v>
      </c>
      <c r="C117" s="42"/>
      <c r="D117" s="38" t="s">
        <v>235</v>
      </c>
      <c r="E117" s="38" t="s">
        <v>679</v>
      </c>
      <c r="F117" s="38"/>
      <c r="G117" s="59" t="n">
        <v>30968</v>
      </c>
      <c r="H117" s="39"/>
      <c r="I117" s="39"/>
      <c r="J117" s="60"/>
      <c r="K117" s="60"/>
      <c r="L117" s="60"/>
      <c r="M117" s="60"/>
      <c r="N117" s="60"/>
      <c r="O117" s="60"/>
      <c r="P117" s="60"/>
      <c r="Q117" s="60"/>
      <c r="R117" s="60"/>
      <c r="S117" s="60"/>
      <c r="T117" s="60"/>
      <c r="U117" s="61" t="n">
        <v>608.12</v>
      </c>
      <c r="V117" s="62"/>
      <c r="W117" s="62"/>
      <c r="X117" s="62"/>
      <c r="Y117" s="62"/>
      <c r="Z117" s="62"/>
      <c r="AA117" s="60"/>
      <c r="XEN117" s="32"/>
      <c r="XEO117" s="32"/>
      <c r="XEP117" s="32"/>
      <c r="XEQ117" s="32"/>
      <c r="XER117" s="32"/>
      <c r="XES117" s="32"/>
      <c r="XET117" s="32"/>
      <c r="XEU117" s="32"/>
      <c r="XEV117" s="32"/>
      <c r="XEW117" s="32"/>
      <c r="XEX117" s="32"/>
      <c r="XEY117" s="32"/>
      <c r="XEZ117" s="32"/>
      <c r="XFA117" s="32"/>
      <c r="XFB117" s="32"/>
      <c r="XFC117" s="32"/>
      <c r="XFD117" s="32"/>
    </row>
    <row r="118" s="40" customFormat="true" ht="18.75" hidden="false" customHeight="true" outlineLevel="0" collapsed="false">
      <c r="A118" s="73" t="s">
        <v>680</v>
      </c>
      <c r="B118" s="38" t="s">
        <v>234</v>
      </c>
      <c r="C118" s="42"/>
      <c r="D118" s="38" t="s">
        <v>235</v>
      </c>
      <c r="E118" s="38" t="s">
        <v>681</v>
      </c>
      <c r="F118" s="38"/>
      <c r="G118" s="65" t="n">
        <v>32302</v>
      </c>
      <c r="H118" s="39"/>
      <c r="I118" s="39"/>
      <c r="J118" s="60"/>
      <c r="K118" s="60"/>
      <c r="L118" s="60"/>
      <c r="M118" s="60"/>
      <c r="N118" s="60"/>
      <c r="O118" s="60"/>
      <c r="P118" s="60"/>
      <c r="Q118" s="60"/>
      <c r="R118" s="60"/>
      <c r="S118" s="60"/>
      <c r="T118" s="60"/>
      <c r="U118" s="61" t="n">
        <v>608.12</v>
      </c>
      <c r="V118" s="62"/>
      <c r="W118" s="62"/>
      <c r="X118" s="62"/>
      <c r="Y118" s="62"/>
      <c r="Z118" s="62"/>
      <c r="AA118" s="60"/>
      <c r="XEN118" s="32"/>
      <c r="XEO118" s="32"/>
      <c r="XEP118" s="32"/>
      <c r="XEQ118" s="32"/>
      <c r="XER118" s="32"/>
      <c r="XES118" s="32"/>
      <c r="XET118" s="32"/>
      <c r="XEU118" s="32"/>
      <c r="XEV118" s="32"/>
      <c r="XEW118" s="32"/>
      <c r="XEX118" s="32"/>
      <c r="XEY118" s="32"/>
      <c r="XEZ118" s="32"/>
      <c r="XFA118" s="32"/>
      <c r="XFB118" s="32"/>
      <c r="XFC118" s="32"/>
      <c r="XFD118" s="32"/>
    </row>
    <row r="119" s="40" customFormat="true" ht="18.75" hidden="false" customHeight="true" outlineLevel="0" collapsed="false">
      <c r="A119" s="73" t="s">
        <v>682</v>
      </c>
      <c r="B119" s="38" t="s">
        <v>234</v>
      </c>
      <c r="C119" s="42"/>
      <c r="D119" s="38" t="s">
        <v>235</v>
      </c>
      <c r="E119" s="38" t="s">
        <v>683</v>
      </c>
      <c r="F119" s="38"/>
      <c r="G119" s="65" t="n">
        <v>27224</v>
      </c>
      <c r="H119" s="39"/>
      <c r="I119" s="39"/>
      <c r="J119" s="60"/>
      <c r="K119" s="60"/>
      <c r="L119" s="60"/>
      <c r="M119" s="60"/>
      <c r="N119" s="60"/>
      <c r="O119" s="60"/>
      <c r="P119" s="60"/>
      <c r="Q119" s="60"/>
      <c r="R119" s="60"/>
      <c r="S119" s="60"/>
      <c r="T119" s="60"/>
      <c r="U119" s="61" t="n">
        <v>608.12</v>
      </c>
      <c r="V119" s="62"/>
      <c r="W119" s="62"/>
      <c r="X119" s="62"/>
      <c r="Y119" s="62"/>
      <c r="Z119" s="62"/>
      <c r="AA119" s="60"/>
      <c r="AB119" s="75"/>
      <c r="AC119" s="75"/>
      <c r="AD119" s="75"/>
      <c r="AE119" s="75"/>
      <c r="AF119" s="75"/>
      <c r="AG119" s="75"/>
      <c r="AH119" s="75"/>
      <c r="AI119" s="75"/>
      <c r="AJ119" s="75"/>
      <c r="AK119" s="75"/>
      <c r="AL119" s="75"/>
      <c r="AM119" s="75"/>
      <c r="AN119" s="75"/>
      <c r="AO119" s="75"/>
      <c r="AP119" s="75"/>
      <c r="AQ119" s="75"/>
      <c r="AR119" s="75"/>
      <c r="AS119" s="75"/>
      <c r="AT119" s="75"/>
      <c r="AU119" s="75"/>
      <c r="AV119" s="75"/>
      <c r="AW119" s="75"/>
      <c r="AX119" s="75"/>
      <c r="AY119" s="75"/>
      <c r="AZ119" s="75"/>
      <c r="BA119" s="75"/>
      <c r="BB119" s="75"/>
      <c r="BC119" s="75"/>
      <c r="BD119" s="75"/>
      <c r="BE119" s="75"/>
      <c r="BF119" s="75"/>
      <c r="BG119" s="75"/>
      <c r="BH119" s="75"/>
      <c r="BI119" s="75"/>
      <c r="BJ119" s="75"/>
      <c r="BK119" s="75"/>
      <c r="BL119" s="75"/>
      <c r="BM119" s="75"/>
      <c r="BO119" s="75"/>
      <c r="BQ119" s="75"/>
      <c r="BS119" s="75"/>
      <c r="XEN119" s="32"/>
      <c r="XEO119" s="32"/>
      <c r="XEP119" s="32"/>
      <c r="XEQ119" s="32"/>
      <c r="XER119" s="32"/>
      <c r="XES119" s="32"/>
      <c r="XET119" s="32"/>
      <c r="XEU119" s="32"/>
      <c r="XEV119" s="32"/>
      <c r="XEW119" s="32"/>
      <c r="XEX119" s="32"/>
      <c r="XEY119" s="32"/>
      <c r="XEZ119" s="32"/>
      <c r="XFA119" s="32"/>
      <c r="XFB119" s="32"/>
      <c r="XFC119" s="32"/>
      <c r="XFD119" s="32"/>
    </row>
    <row r="120" s="40" customFormat="true" ht="18.75" hidden="false" customHeight="true" outlineLevel="0" collapsed="false">
      <c r="A120" s="76" t="s">
        <v>684</v>
      </c>
      <c r="B120" s="39" t="s">
        <v>284</v>
      </c>
      <c r="C120" s="42"/>
      <c r="D120" s="38" t="s">
        <v>285</v>
      </c>
      <c r="E120" s="38" t="s">
        <v>685</v>
      </c>
      <c r="F120" s="38"/>
      <c r="G120" s="59" t="s">
        <v>686</v>
      </c>
      <c r="H120" s="39"/>
      <c r="I120" s="39"/>
      <c r="J120" s="60"/>
      <c r="K120" s="60"/>
      <c r="L120" s="60"/>
      <c r="M120" s="60"/>
      <c r="N120" s="60"/>
      <c r="O120" s="60"/>
      <c r="P120" s="60"/>
      <c r="Q120" s="60"/>
      <c r="R120" s="60"/>
      <c r="S120" s="60"/>
      <c r="T120" s="60"/>
      <c r="U120" s="61" t="n">
        <v>608.12</v>
      </c>
      <c r="V120" s="62"/>
      <c r="W120" s="62"/>
      <c r="X120" s="62"/>
      <c r="Y120" s="62"/>
      <c r="Z120" s="62"/>
      <c r="AA120" s="60"/>
      <c r="XEN120" s="32"/>
      <c r="XEO120" s="32"/>
      <c r="XEP120" s="32"/>
      <c r="XEQ120" s="32"/>
      <c r="XER120" s="32"/>
      <c r="XES120" s="32"/>
      <c r="XET120" s="32"/>
      <c r="XEU120" s="32"/>
      <c r="XEV120" s="32"/>
      <c r="XEW120" s="32"/>
      <c r="XEX120" s="32"/>
      <c r="XEY120" s="32"/>
      <c r="XEZ120" s="32"/>
      <c r="XFA120" s="32"/>
      <c r="XFB120" s="32"/>
      <c r="XFC120" s="32"/>
      <c r="XFD120" s="32"/>
    </row>
    <row r="121" s="40" customFormat="true" ht="18.75" hidden="false" customHeight="true" outlineLevel="0" collapsed="false">
      <c r="A121" s="76" t="s">
        <v>687</v>
      </c>
      <c r="B121" s="39" t="s">
        <v>312</v>
      </c>
      <c r="C121" s="42"/>
      <c r="D121" s="38" t="s">
        <v>313</v>
      </c>
      <c r="E121" s="38" t="s">
        <v>688</v>
      </c>
      <c r="F121" s="38"/>
      <c r="G121" s="59" t="n">
        <v>27303</v>
      </c>
      <c r="H121" s="39"/>
      <c r="I121" s="39"/>
      <c r="J121" s="60"/>
      <c r="K121" s="60"/>
      <c r="L121" s="60"/>
      <c r="M121" s="60"/>
      <c r="N121" s="60"/>
      <c r="O121" s="60"/>
      <c r="P121" s="60"/>
      <c r="Q121" s="60"/>
      <c r="R121" s="60"/>
      <c r="S121" s="60"/>
      <c r="T121" s="60"/>
      <c r="U121" s="61" t="n">
        <v>608.12</v>
      </c>
      <c r="V121" s="62"/>
      <c r="W121" s="62"/>
      <c r="X121" s="62"/>
      <c r="Y121" s="62"/>
      <c r="Z121" s="62"/>
      <c r="AA121" s="60"/>
      <c r="XEN121" s="32"/>
      <c r="XEO121" s="32"/>
      <c r="XEP121" s="32"/>
      <c r="XEQ121" s="32"/>
      <c r="XER121" s="32"/>
      <c r="XES121" s="32"/>
      <c r="XET121" s="32"/>
      <c r="XEU121" s="32"/>
      <c r="XEV121" s="32"/>
      <c r="XEW121" s="32"/>
      <c r="XEX121" s="32"/>
      <c r="XEY121" s="32"/>
      <c r="XEZ121" s="32"/>
      <c r="XFA121" s="32"/>
      <c r="XFB121" s="32"/>
      <c r="XFC121" s="32"/>
      <c r="XFD121" s="32"/>
    </row>
    <row r="122" s="40" customFormat="true" ht="18.75" hidden="false" customHeight="true" outlineLevel="0" collapsed="false">
      <c r="A122" s="42" t="s">
        <v>689</v>
      </c>
      <c r="B122" s="39" t="s">
        <v>312</v>
      </c>
      <c r="C122" s="42"/>
      <c r="D122" s="38" t="s">
        <v>313</v>
      </c>
      <c r="E122" s="38" t="s">
        <v>690</v>
      </c>
      <c r="F122" s="38"/>
      <c r="G122" s="59" t="s">
        <v>691</v>
      </c>
      <c r="H122" s="39"/>
      <c r="I122" s="39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1" t="n">
        <v>608.12</v>
      </c>
      <c r="V122" s="62"/>
      <c r="W122" s="62"/>
      <c r="X122" s="62"/>
      <c r="Y122" s="62"/>
      <c r="Z122" s="62"/>
      <c r="AA122" s="60"/>
      <c r="XEN122" s="32"/>
      <c r="XEO122" s="32"/>
      <c r="XEP122" s="32"/>
      <c r="XEQ122" s="32"/>
      <c r="XER122" s="32"/>
      <c r="XES122" s="32"/>
      <c r="XET122" s="32"/>
      <c r="XEU122" s="32"/>
      <c r="XEV122" s="32"/>
      <c r="XEW122" s="32"/>
      <c r="XEX122" s="32"/>
      <c r="XEY122" s="32"/>
      <c r="XEZ122" s="32"/>
      <c r="XFA122" s="32"/>
      <c r="XFB122" s="32"/>
      <c r="XFC122" s="32"/>
      <c r="XFD122" s="32"/>
    </row>
    <row r="123" s="40" customFormat="true" ht="18.75" hidden="false" customHeight="true" outlineLevel="0" collapsed="false">
      <c r="A123" s="42" t="s">
        <v>692</v>
      </c>
      <c r="B123" s="39" t="s">
        <v>254</v>
      </c>
      <c r="C123" s="42"/>
      <c r="D123" s="38" t="s">
        <v>255</v>
      </c>
      <c r="E123" s="38" t="s">
        <v>693</v>
      </c>
      <c r="F123" s="38"/>
      <c r="G123" s="59" t="s">
        <v>694</v>
      </c>
      <c r="H123" s="39"/>
      <c r="I123" s="39"/>
      <c r="J123" s="60"/>
      <c r="K123" s="60"/>
      <c r="L123" s="60"/>
      <c r="M123" s="60"/>
      <c r="N123" s="60"/>
      <c r="O123" s="60"/>
      <c r="P123" s="60"/>
      <c r="Q123" s="60"/>
      <c r="R123" s="60"/>
      <c r="S123" s="60"/>
      <c r="T123" s="60"/>
      <c r="U123" s="61" t="n">
        <v>608.12</v>
      </c>
      <c r="V123" s="62"/>
      <c r="W123" s="62"/>
      <c r="X123" s="62"/>
      <c r="Y123" s="62"/>
      <c r="Z123" s="62"/>
      <c r="AA123" s="60"/>
      <c r="XEN123" s="32"/>
      <c r="XEO123" s="32"/>
      <c r="XEP123" s="32"/>
      <c r="XEQ123" s="32"/>
      <c r="XER123" s="32"/>
      <c r="XES123" s="32"/>
      <c r="XET123" s="32"/>
      <c r="XEU123" s="32"/>
      <c r="XEV123" s="32"/>
      <c r="XEW123" s="32"/>
      <c r="XEX123" s="32"/>
      <c r="XEY123" s="32"/>
      <c r="XEZ123" s="32"/>
      <c r="XFA123" s="32"/>
      <c r="XFB123" s="32"/>
      <c r="XFC123" s="32"/>
      <c r="XFD123" s="32"/>
    </row>
    <row r="124" s="40" customFormat="true" ht="18.75" hidden="false" customHeight="true" outlineLevel="0" collapsed="false">
      <c r="A124" s="42" t="s">
        <v>695</v>
      </c>
      <c r="B124" s="39" t="s">
        <v>254</v>
      </c>
      <c r="C124" s="42"/>
      <c r="D124" s="38" t="s">
        <v>255</v>
      </c>
      <c r="E124" s="38" t="s">
        <v>696</v>
      </c>
      <c r="F124" s="38"/>
      <c r="G124" s="59" t="n">
        <v>29593</v>
      </c>
      <c r="H124" s="39"/>
      <c r="I124" s="39"/>
      <c r="J124" s="60"/>
      <c r="K124" s="60"/>
      <c r="L124" s="60"/>
      <c r="M124" s="60"/>
      <c r="N124" s="60"/>
      <c r="O124" s="60"/>
      <c r="P124" s="60"/>
      <c r="Q124" s="60"/>
      <c r="R124" s="60"/>
      <c r="S124" s="60"/>
      <c r="T124" s="60"/>
      <c r="U124" s="61" t="n">
        <v>608.12</v>
      </c>
      <c r="V124" s="62"/>
      <c r="W124" s="62"/>
      <c r="X124" s="62"/>
      <c r="Y124" s="62"/>
      <c r="Z124" s="62"/>
      <c r="AA124" s="60"/>
      <c r="XEN124" s="32"/>
      <c r="XEO124" s="32"/>
      <c r="XEP124" s="32"/>
      <c r="XEQ124" s="32"/>
      <c r="XER124" s="32"/>
      <c r="XES124" s="32"/>
      <c r="XET124" s="32"/>
      <c r="XEU124" s="32"/>
      <c r="XEV124" s="32"/>
      <c r="XEW124" s="32"/>
      <c r="XEX124" s="32"/>
      <c r="XEY124" s="32"/>
      <c r="XEZ124" s="32"/>
      <c r="XFA124" s="32"/>
      <c r="XFB124" s="32"/>
      <c r="XFC124" s="32"/>
      <c r="XFD124" s="32"/>
    </row>
    <row r="125" s="40" customFormat="true" ht="18.75" hidden="false" customHeight="true" outlineLevel="0" collapsed="false">
      <c r="A125" s="42" t="s">
        <v>697</v>
      </c>
      <c r="B125" s="39" t="s">
        <v>254</v>
      </c>
      <c r="C125" s="42"/>
      <c r="D125" s="38" t="s">
        <v>255</v>
      </c>
      <c r="E125" s="38" t="s">
        <v>698</v>
      </c>
      <c r="F125" s="38"/>
      <c r="G125" s="59" t="n">
        <v>37135</v>
      </c>
      <c r="H125" s="39"/>
      <c r="I125" s="39"/>
      <c r="J125" s="60"/>
      <c r="K125" s="60"/>
      <c r="L125" s="60"/>
      <c r="M125" s="60"/>
      <c r="N125" s="60"/>
      <c r="O125" s="60"/>
      <c r="P125" s="60"/>
      <c r="Q125" s="60"/>
      <c r="R125" s="60"/>
      <c r="S125" s="60"/>
      <c r="T125" s="60"/>
      <c r="U125" s="61" t="n">
        <v>608.12</v>
      </c>
      <c r="V125" s="62"/>
      <c r="W125" s="62"/>
      <c r="X125" s="62"/>
      <c r="Y125" s="62"/>
      <c r="Z125" s="62"/>
      <c r="AA125" s="60"/>
      <c r="XEN125" s="32"/>
      <c r="XEO125" s="32"/>
      <c r="XEP125" s="32"/>
      <c r="XEQ125" s="32"/>
      <c r="XER125" s="32"/>
      <c r="XES125" s="32"/>
      <c r="XET125" s="32"/>
      <c r="XEU125" s="32"/>
      <c r="XEV125" s="32"/>
      <c r="XEW125" s="32"/>
      <c r="XEX125" s="32"/>
      <c r="XEY125" s="32"/>
      <c r="XEZ125" s="32"/>
      <c r="XFA125" s="32"/>
      <c r="XFB125" s="32"/>
      <c r="XFC125" s="32"/>
      <c r="XFD125" s="32"/>
    </row>
    <row r="126" s="40" customFormat="true" ht="18.75" hidden="false" customHeight="true" outlineLevel="0" collapsed="false">
      <c r="A126" s="42" t="s">
        <v>699</v>
      </c>
      <c r="B126" s="39" t="s">
        <v>254</v>
      </c>
      <c r="C126" s="42"/>
      <c r="D126" s="38" t="s">
        <v>255</v>
      </c>
      <c r="E126" s="38" t="s">
        <v>700</v>
      </c>
      <c r="F126" s="38"/>
      <c r="G126" s="59" t="s">
        <v>701</v>
      </c>
      <c r="H126" s="39"/>
      <c r="I126" s="39"/>
      <c r="J126" s="60"/>
      <c r="K126" s="60"/>
      <c r="L126" s="60"/>
      <c r="M126" s="60"/>
      <c r="N126" s="60"/>
      <c r="O126" s="60"/>
      <c r="P126" s="60"/>
      <c r="Q126" s="60"/>
      <c r="R126" s="60"/>
      <c r="S126" s="60"/>
      <c r="T126" s="60"/>
      <c r="U126" s="61" t="n">
        <v>608.12</v>
      </c>
      <c r="V126" s="62"/>
      <c r="W126" s="62"/>
      <c r="X126" s="62"/>
      <c r="Y126" s="62"/>
      <c r="Z126" s="62"/>
      <c r="AA126" s="60"/>
      <c r="XEN126" s="32"/>
      <c r="XEO126" s="32"/>
      <c r="XEP126" s="32"/>
      <c r="XEQ126" s="32"/>
      <c r="XER126" s="32"/>
      <c r="XES126" s="32"/>
      <c r="XET126" s="32"/>
      <c r="XEU126" s="32"/>
      <c r="XEV126" s="32"/>
      <c r="XEW126" s="32"/>
      <c r="XEX126" s="32"/>
      <c r="XEY126" s="32"/>
      <c r="XEZ126" s="32"/>
      <c r="XFA126" s="32"/>
      <c r="XFB126" s="32"/>
      <c r="XFC126" s="32"/>
      <c r="XFD126" s="32"/>
    </row>
    <row r="127" s="40" customFormat="true" ht="18.75" hidden="false" customHeight="true" outlineLevel="0" collapsed="false">
      <c r="A127" s="42" t="s">
        <v>702</v>
      </c>
      <c r="B127" s="39" t="s">
        <v>254</v>
      </c>
      <c r="C127" s="42"/>
      <c r="D127" s="38" t="s">
        <v>255</v>
      </c>
      <c r="E127" s="38" t="s">
        <v>703</v>
      </c>
      <c r="F127" s="38"/>
      <c r="G127" s="59" t="n">
        <v>25903</v>
      </c>
      <c r="H127" s="39"/>
      <c r="I127" s="39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1" t="n">
        <v>608.12</v>
      </c>
      <c r="V127" s="62"/>
      <c r="W127" s="62"/>
      <c r="X127" s="62"/>
      <c r="Y127" s="62"/>
      <c r="Z127" s="62"/>
      <c r="AA127" s="60"/>
      <c r="XEN127" s="32"/>
      <c r="XEO127" s="32"/>
      <c r="XEP127" s="32"/>
      <c r="XEQ127" s="32"/>
      <c r="XER127" s="32"/>
      <c r="XES127" s="32"/>
      <c r="XET127" s="32"/>
      <c r="XEU127" s="32"/>
      <c r="XEV127" s="32"/>
      <c r="XEW127" s="32"/>
      <c r="XEX127" s="32"/>
      <c r="XEY127" s="32"/>
      <c r="XEZ127" s="32"/>
      <c r="XFA127" s="32"/>
      <c r="XFB127" s="32"/>
      <c r="XFC127" s="32"/>
      <c r="XFD127" s="32"/>
    </row>
    <row r="128" s="40" customFormat="true" ht="18.75" hidden="false" customHeight="true" outlineLevel="0" collapsed="false">
      <c r="A128" s="42" t="s">
        <v>704</v>
      </c>
      <c r="B128" s="39" t="s">
        <v>316</v>
      </c>
      <c r="C128" s="42"/>
      <c r="D128" s="38" t="s">
        <v>317</v>
      </c>
      <c r="E128" s="38" t="s">
        <v>705</v>
      </c>
      <c r="F128" s="38"/>
      <c r="G128" s="59" t="n">
        <v>30601</v>
      </c>
      <c r="H128" s="39"/>
      <c r="I128" s="39"/>
      <c r="J128" s="60"/>
      <c r="K128" s="60"/>
      <c r="L128" s="60"/>
      <c r="M128" s="60"/>
      <c r="N128" s="60"/>
      <c r="O128" s="60"/>
      <c r="P128" s="60"/>
      <c r="Q128" s="60"/>
      <c r="R128" s="60"/>
      <c r="S128" s="60"/>
      <c r="T128" s="60"/>
      <c r="U128" s="61" t="n">
        <v>850</v>
      </c>
      <c r="V128" s="62"/>
      <c r="W128" s="62"/>
      <c r="X128" s="62"/>
      <c r="Y128" s="62"/>
      <c r="Z128" s="62"/>
      <c r="AA128" s="60"/>
      <c r="XEN128" s="32"/>
      <c r="XEO128" s="32"/>
      <c r="XEP128" s="32"/>
      <c r="XEQ128" s="32"/>
      <c r="XER128" s="32"/>
      <c r="XES128" s="32"/>
      <c r="XET128" s="32"/>
      <c r="XEU128" s="32"/>
      <c r="XEV128" s="32"/>
      <c r="XEW128" s="32"/>
      <c r="XEX128" s="32"/>
      <c r="XEY128" s="32"/>
      <c r="XEZ128" s="32"/>
      <c r="XFA128" s="32"/>
      <c r="XFB128" s="32"/>
      <c r="XFC128" s="32"/>
      <c r="XFD128" s="32"/>
    </row>
    <row r="129" s="40" customFormat="true" ht="18.75" hidden="false" customHeight="true" outlineLevel="0" collapsed="false">
      <c r="A129" s="42" t="s">
        <v>706</v>
      </c>
      <c r="B129" s="39" t="s">
        <v>316</v>
      </c>
      <c r="C129" s="42"/>
      <c r="D129" s="38" t="s">
        <v>317</v>
      </c>
      <c r="E129" s="38" t="s">
        <v>707</v>
      </c>
      <c r="F129" s="38"/>
      <c r="G129" s="59" t="n">
        <v>26307</v>
      </c>
      <c r="H129" s="39"/>
      <c r="I129" s="39"/>
      <c r="J129" s="60"/>
      <c r="K129" s="60"/>
      <c r="L129" s="60"/>
      <c r="M129" s="60"/>
      <c r="N129" s="60"/>
      <c r="O129" s="60"/>
      <c r="P129" s="60"/>
      <c r="Q129" s="60"/>
      <c r="R129" s="60"/>
      <c r="S129" s="60"/>
      <c r="T129" s="60"/>
      <c r="U129" s="61" t="n">
        <v>950</v>
      </c>
      <c r="V129" s="62"/>
      <c r="W129" s="62"/>
      <c r="X129" s="62"/>
      <c r="Y129" s="62"/>
      <c r="Z129" s="62"/>
      <c r="AA129" s="60"/>
      <c r="XEN129" s="32"/>
      <c r="XEO129" s="32"/>
      <c r="XEP129" s="32"/>
      <c r="XEQ129" s="32"/>
      <c r="XER129" s="32"/>
      <c r="XES129" s="32"/>
      <c r="XET129" s="32"/>
      <c r="XEU129" s="32"/>
      <c r="XEV129" s="32"/>
      <c r="XEW129" s="32"/>
      <c r="XEX129" s="32"/>
      <c r="XEY129" s="32"/>
      <c r="XEZ129" s="32"/>
      <c r="XFA129" s="32"/>
      <c r="XFB129" s="32"/>
      <c r="XFC129" s="32"/>
      <c r="XFD129" s="32"/>
    </row>
    <row r="130" s="40" customFormat="true" ht="18.75" hidden="false" customHeight="true" outlineLevel="0" collapsed="false">
      <c r="A130" s="42" t="s">
        <v>708</v>
      </c>
      <c r="B130" s="39" t="s">
        <v>250</v>
      </c>
      <c r="C130" s="38"/>
      <c r="D130" s="38" t="s">
        <v>251</v>
      </c>
      <c r="E130" s="38" t="s">
        <v>709</v>
      </c>
      <c r="F130" s="38"/>
      <c r="G130" s="59" t="s">
        <v>710</v>
      </c>
      <c r="H130" s="39"/>
      <c r="I130" s="39"/>
      <c r="J130" s="60"/>
      <c r="K130" s="60"/>
      <c r="L130" s="60"/>
      <c r="M130" s="60"/>
      <c r="N130" s="60"/>
      <c r="O130" s="60"/>
      <c r="P130" s="60"/>
      <c r="Q130" s="60"/>
      <c r="R130" s="60"/>
      <c r="S130" s="60"/>
      <c r="T130" s="60"/>
      <c r="U130" s="61" t="n">
        <v>608.12</v>
      </c>
      <c r="V130" s="62"/>
      <c r="W130" s="62"/>
      <c r="X130" s="62"/>
      <c r="Y130" s="62"/>
      <c r="Z130" s="62"/>
      <c r="AA130" s="60"/>
      <c r="XEN130" s="32"/>
      <c r="XEO130" s="32"/>
      <c r="XEP130" s="32"/>
      <c r="XEQ130" s="32"/>
      <c r="XER130" s="32"/>
      <c r="XES130" s="32"/>
      <c r="XET130" s="32"/>
      <c r="XEU130" s="32"/>
      <c r="XEV130" s="32"/>
      <c r="XEW130" s="32"/>
      <c r="XEX130" s="32"/>
      <c r="XEY130" s="32"/>
      <c r="XEZ130" s="32"/>
      <c r="XFA130" s="32"/>
      <c r="XFB130" s="32"/>
      <c r="XFC130" s="32"/>
      <c r="XFD130" s="32"/>
    </row>
    <row r="131" s="40" customFormat="true" ht="18.75" hidden="false" customHeight="true" outlineLevel="0" collapsed="false">
      <c r="A131" s="42" t="s">
        <v>711</v>
      </c>
      <c r="B131" s="39" t="s">
        <v>250</v>
      </c>
      <c r="C131" s="38"/>
      <c r="D131" s="38" t="s">
        <v>251</v>
      </c>
      <c r="E131" s="38" t="s">
        <v>712</v>
      </c>
      <c r="F131" s="38"/>
      <c r="G131" s="59" t="n">
        <v>28745</v>
      </c>
      <c r="H131" s="39"/>
      <c r="I131" s="39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1" t="n">
        <v>608.12</v>
      </c>
      <c r="V131" s="62"/>
      <c r="W131" s="62"/>
      <c r="X131" s="62"/>
      <c r="Y131" s="62"/>
      <c r="Z131" s="62"/>
      <c r="AA131" s="60"/>
      <c r="XEN131" s="32"/>
      <c r="XEO131" s="32"/>
      <c r="XEP131" s="32"/>
      <c r="XEQ131" s="32"/>
      <c r="XER131" s="32"/>
      <c r="XES131" s="32"/>
      <c r="XET131" s="32"/>
      <c r="XEU131" s="32"/>
      <c r="XEV131" s="32"/>
      <c r="XEW131" s="32"/>
      <c r="XEX131" s="32"/>
      <c r="XEY131" s="32"/>
      <c r="XEZ131" s="32"/>
      <c r="XFA131" s="32"/>
      <c r="XFB131" s="32"/>
      <c r="XFC131" s="32"/>
      <c r="XFD131" s="32"/>
    </row>
    <row r="132" s="40" customFormat="true" ht="18.75" hidden="false" customHeight="true" outlineLevel="0" collapsed="false">
      <c r="A132" s="42" t="s">
        <v>713</v>
      </c>
      <c r="B132" s="39" t="s">
        <v>250</v>
      </c>
      <c r="C132" s="38"/>
      <c r="D132" s="38" t="s">
        <v>251</v>
      </c>
      <c r="E132" s="38" t="s">
        <v>714</v>
      </c>
      <c r="F132" s="38"/>
      <c r="G132" s="59" t="s">
        <v>715</v>
      </c>
      <c r="H132" s="39"/>
      <c r="I132" s="39"/>
      <c r="J132" s="60"/>
      <c r="K132" s="60"/>
      <c r="L132" s="60"/>
      <c r="M132" s="60"/>
      <c r="N132" s="60"/>
      <c r="O132" s="60"/>
      <c r="P132" s="60"/>
      <c r="Q132" s="60"/>
      <c r="R132" s="60"/>
      <c r="S132" s="60"/>
      <c r="T132" s="60"/>
      <c r="U132" s="61" t="n">
        <v>608.12</v>
      </c>
      <c r="V132" s="62"/>
      <c r="W132" s="62"/>
      <c r="X132" s="62"/>
      <c r="Y132" s="62"/>
      <c r="Z132" s="62"/>
      <c r="AA132" s="60"/>
      <c r="XEN132" s="32"/>
      <c r="XEO132" s="32"/>
      <c r="XEP132" s="32"/>
      <c r="XEQ132" s="32"/>
      <c r="XER132" s="32"/>
      <c r="XES132" s="32"/>
      <c r="XET132" s="32"/>
      <c r="XEU132" s="32"/>
      <c r="XEV132" s="32"/>
      <c r="XEW132" s="32"/>
      <c r="XEX132" s="32"/>
      <c r="XEY132" s="32"/>
      <c r="XEZ132" s="32"/>
      <c r="XFA132" s="32"/>
      <c r="XFB132" s="32"/>
      <c r="XFC132" s="32"/>
      <c r="XFD132" s="32"/>
    </row>
    <row r="133" s="40" customFormat="true" ht="18.75" hidden="false" customHeight="true" outlineLevel="0" collapsed="false">
      <c r="A133" s="42" t="s">
        <v>716</v>
      </c>
      <c r="B133" s="39" t="s">
        <v>250</v>
      </c>
      <c r="C133" s="42"/>
      <c r="D133" s="42" t="s">
        <v>251</v>
      </c>
      <c r="E133" s="42" t="s">
        <v>717</v>
      </c>
      <c r="F133" s="42"/>
      <c r="G133" s="65" t="s">
        <v>718</v>
      </c>
      <c r="H133" s="39"/>
      <c r="I133" s="39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1" t="n">
        <v>608.12</v>
      </c>
      <c r="V133" s="62"/>
      <c r="W133" s="62"/>
      <c r="X133" s="62"/>
      <c r="Y133" s="62"/>
      <c r="Z133" s="62"/>
      <c r="AA133" s="60"/>
      <c r="XEN133" s="32"/>
      <c r="XEO133" s="32"/>
      <c r="XEP133" s="32"/>
      <c r="XEQ133" s="32"/>
      <c r="XER133" s="32"/>
      <c r="XES133" s="32"/>
      <c r="XET133" s="32"/>
      <c r="XEU133" s="32"/>
      <c r="XEV133" s="32"/>
      <c r="XEW133" s="32"/>
      <c r="XEX133" s="32"/>
      <c r="XEY133" s="32"/>
      <c r="XEZ133" s="32"/>
      <c r="XFA133" s="32"/>
      <c r="XFB133" s="32"/>
      <c r="XFC133" s="32"/>
      <c r="XFD133" s="32"/>
    </row>
    <row r="134" s="40" customFormat="true" ht="18.75" hidden="false" customHeight="true" outlineLevel="0" collapsed="false">
      <c r="A134" s="42" t="s">
        <v>719</v>
      </c>
      <c r="B134" s="39" t="s">
        <v>250</v>
      </c>
      <c r="C134" s="38"/>
      <c r="D134" s="38" t="s">
        <v>251</v>
      </c>
      <c r="E134" s="38" t="s">
        <v>720</v>
      </c>
      <c r="F134" s="38"/>
      <c r="G134" s="59" t="n">
        <v>35969</v>
      </c>
      <c r="H134" s="39"/>
      <c r="I134" s="39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1" t="n">
        <v>608.12</v>
      </c>
      <c r="V134" s="62"/>
      <c r="W134" s="62"/>
      <c r="X134" s="62"/>
      <c r="Y134" s="62"/>
      <c r="Z134" s="62"/>
      <c r="AA134" s="60"/>
      <c r="XEN134" s="32"/>
      <c r="XEO134" s="32"/>
      <c r="XEP134" s="32"/>
      <c r="XEQ134" s="32"/>
      <c r="XER134" s="32"/>
      <c r="XES134" s="32"/>
      <c r="XET134" s="32"/>
      <c r="XEU134" s="32"/>
      <c r="XEV134" s="32"/>
      <c r="XEW134" s="32"/>
      <c r="XEX134" s="32"/>
      <c r="XEY134" s="32"/>
      <c r="XEZ134" s="32"/>
      <c r="XFA134" s="32"/>
      <c r="XFB134" s="32"/>
      <c r="XFC134" s="32"/>
      <c r="XFD134" s="32"/>
    </row>
    <row r="135" s="40" customFormat="true" ht="18.75" hidden="false" customHeight="true" outlineLevel="0" collapsed="false">
      <c r="A135" s="42" t="s">
        <v>721</v>
      </c>
      <c r="B135" s="39" t="s">
        <v>250</v>
      </c>
      <c r="C135" s="38"/>
      <c r="D135" s="38" t="s">
        <v>251</v>
      </c>
      <c r="E135" s="38" t="s">
        <v>722</v>
      </c>
      <c r="F135" s="38"/>
      <c r="G135" s="59" t="n">
        <v>31997</v>
      </c>
      <c r="H135" s="39"/>
      <c r="I135" s="39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1" t="n">
        <v>608.12</v>
      </c>
      <c r="V135" s="62"/>
      <c r="W135" s="62"/>
      <c r="X135" s="62"/>
      <c r="Y135" s="62"/>
      <c r="Z135" s="62"/>
      <c r="AA135" s="60"/>
      <c r="XEN135" s="32"/>
      <c r="XEO135" s="32"/>
      <c r="XEP135" s="32"/>
      <c r="XEQ135" s="32"/>
      <c r="XER135" s="32"/>
      <c r="XES135" s="32"/>
      <c r="XET135" s="32"/>
      <c r="XEU135" s="32"/>
      <c r="XEV135" s="32"/>
      <c r="XEW135" s="32"/>
      <c r="XEX135" s="32"/>
      <c r="XEY135" s="32"/>
      <c r="XEZ135" s="32"/>
      <c r="XFA135" s="32"/>
      <c r="XFB135" s="32"/>
      <c r="XFC135" s="32"/>
      <c r="XFD135" s="32"/>
    </row>
    <row r="136" s="40" customFormat="true" ht="18.75" hidden="false" customHeight="true" outlineLevel="0" collapsed="false">
      <c r="A136" s="42" t="s">
        <v>723</v>
      </c>
      <c r="B136" s="39" t="s">
        <v>250</v>
      </c>
      <c r="C136" s="38"/>
      <c r="D136" s="38" t="s">
        <v>251</v>
      </c>
      <c r="E136" s="38" t="s">
        <v>724</v>
      </c>
      <c r="F136" s="38"/>
      <c r="G136" s="65" t="n">
        <v>34094</v>
      </c>
      <c r="H136" s="39"/>
      <c r="I136" s="39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1" t="n">
        <v>608.12</v>
      </c>
      <c r="V136" s="62"/>
      <c r="W136" s="62"/>
      <c r="X136" s="62"/>
      <c r="Y136" s="62"/>
      <c r="Z136" s="62"/>
      <c r="AA136" s="60"/>
      <c r="XEN136" s="32"/>
      <c r="XEO136" s="32"/>
      <c r="XEP136" s="32"/>
      <c r="XEQ136" s="32"/>
      <c r="XER136" s="32"/>
      <c r="XES136" s="32"/>
      <c r="XET136" s="32"/>
      <c r="XEU136" s="32"/>
      <c r="XEV136" s="32"/>
      <c r="XEW136" s="32"/>
      <c r="XEX136" s="32"/>
      <c r="XEY136" s="32"/>
      <c r="XEZ136" s="32"/>
      <c r="XFA136" s="32"/>
      <c r="XFB136" s="32"/>
      <c r="XFC136" s="32"/>
      <c r="XFD136" s="32"/>
    </row>
    <row r="137" s="40" customFormat="true" ht="18.75" hidden="false" customHeight="true" outlineLevel="0" collapsed="false">
      <c r="A137" s="42" t="s">
        <v>725</v>
      </c>
      <c r="B137" s="39" t="s">
        <v>266</v>
      </c>
      <c r="C137" s="42"/>
      <c r="D137" s="38" t="s">
        <v>267</v>
      </c>
      <c r="E137" s="38" t="s">
        <v>726</v>
      </c>
      <c r="F137" s="38"/>
      <c r="G137" s="59" t="n">
        <v>30636</v>
      </c>
      <c r="H137" s="39"/>
      <c r="I137" s="39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1" t="n">
        <v>608.12</v>
      </c>
      <c r="V137" s="62"/>
      <c r="W137" s="62"/>
      <c r="X137" s="62"/>
      <c r="Y137" s="62"/>
      <c r="Z137" s="62"/>
      <c r="AA137" s="60"/>
      <c r="XEN137" s="32"/>
      <c r="XEO137" s="32"/>
      <c r="XEP137" s="32"/>
      <c r="XEQ137" s="32"/>
      <c r="XER137" s="32"/>
      <c r="XES137" s="32"/>
      <c r="XET137" s="32"/>
      <c r="XEU137" s="32"/>
      <c r="XEV137" s="32"/>
      <c r="XEW137" s="32"/>
      <c r="XEX137" s="32"/>
      <c r="XEY137" s="32"/>
      <c r="XEZ137" s="32"/>
      <c r="XFA137" s="32"/>
      <c r="XFB137" s="32"/>
      <c r="XFC137" s="32"/>
      <c r="XFD137" s="32"/>
    </row>
    <row r="138" s="40" customFormat="true" ht="18.75" hidden="false" customHeight="true" outlineLevel="0" collapsed="false">
      <c r="A138" s="42" t="s">
        <v>727</v>
      </c>
      <c r="B138" s="39" t="s">
        <v>266</v>
      </c>
      <c r="C138" s="42"/>
      <c r="D138" s="38" t="s">
        <v>267</v>
      </c>
      <c r="E138" s="38" t="s">
        <v>728</v>
      </c>
      <c r="F138" s="38"/>
      <c r="G138" s="59" t="s">
        <v>729</v>
      </c>
      <c r="H138" s="39"/>
      <c r="I138" s="39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1" t="n">
        <v>608.12</v>
      </c>
      <c r="V138" s="62"/>
      <c r="W138" s="62"/>
      <c r="X138" s="62"/>
      <c r="Y138" s="62"/>
      <c r="Z138" s="62"/>
      <c r="AA138" s="60"/>
      <c r="XEN138" s="32"/>
      <c r="XEO138" s="32"/>
      <c r="XEP138" s="32"/>
      <c r="XEQ138" s="32"/>
      <c r="XER138" s="32"/>
      <c r="XES138" s="32"/>
      <c r="XET138" s="32"/>
      <c r="XEU138" s="32"/>
      <c r="XEV138" s="32"/>
      <c r="XEW138" s="32"/>
      <c r="XEX138" s="32"/>
      <c r="XEY138" s="32"/>
      <c r="XEZ138" s="32"/>
      <c r="XFA138" s="32"/>
      <c r="XFB138" s="32"/>
      <c r="XFC138" s="32"/>
      <c r="XFD138" s="32"/>
    </row>
    <row r="139" s="40" customFormat="true" ht="18.75" hidden="false" customHeight="true" outlineLevel="0" collapsed="false">
      <c r="A139" s="42" t="s">
        <v>730</v>
      </c>
      <c r="B139" s="39" t="s">
        <v>266</v>
      </c>
      <c r="C139" s="42"/>
      <c r="D139" s="38" t="s">
        <v>267</v>
      </c>
      <c r="E139" s="38" t="s">
        <v>731</v>
      </c>
      <c r="F139" s="38"/>
      <c r="G139" s="59" t="s">
        <v>732</v>
      </c>
      <c r="H139" s="39"/>
      <c r="I139" s="39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1" t="n">
        <v>608.12</v>
      </c>
      <c r="V139" s="62"/>
      <c r="W139" s="62"/>
      <c r="X139" s="62"/>
      <c r="Y139" s="62"/>
      <c r="Z139" s="62"/>
      <c r="AA139" s="60"/>
      <c r="XEN139" s="32"/>
      <c r="XEO139" s="32"/>
      <c r="XEP139" s="32"/>
      <c r="XEQ139" s="32"/>
      <c r="XER139" s="32"/>
      <c r="XES139" s="32"/>
      <c r="XET139" s="32"/>
      <c r="XEU139" s="32"/>
      <c r="XEV139" s="32"/>
      <c r="XEW139" s="32"/>
      <c r="XEX139" s="32"/>
      <c r="XEY139" s="32"/>
      <c r="XEZ139" s="32"/>
      <c r="XFA139" s="32"/>
      <c r="XFB139" s="32"/>
      <c r="XFC139" s="32"/>
      <c r="XFD139" s="32"/>
    </row>
    <row r="140" s="40" customFormat="true" ht="18.75" hidden="false" customHeight="true" outlineLevel="0" collapsed="false">
      <c r="A140" s="42" t="s">
        <v>733</v>
      </c>
      <c r="B140" s="39" t="s">
        <v>266</v>
      </c>
      <c r="C140" s="42"/>
      <c r="D140" s="38" t="s">
        <v>267</v>
      </c>
      <c r="E140" s="38" t="s">
        <v>734</v>
      </c>
      <c r="F140" s="38"/>
      <c r="G140" s="59" t="n">
        <v>23133</v>
      </c>
      <c r="H140" s="39"/>
      <c r="I140" s="39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1" t="n">
        <v>608.12</v>
      </c>
      <c r="V140" s="62"/>
      <c r="W140" s="62"/>
      <c r="X140" s="62"/>
      <c r="Y140" s="62"/>
      <c r="Z140" s="62"/>
      <c r="AA140" s="60"/>
      <c r="XEN140" s="32"/>
      <c r="XEO140" s="32"/>
      <c r="XEP140" s="32"/>
      <c r="XEQ140" s="32"/>
      <c r="XER140" s="32"/>
      <c r="XES140" s="32"/>
      <c r="XET140" s="32"/>
      <c r="XEU140" s="32"/>
      <c r="XEV140" s="32"/>
      <c r="XEW140" s="32"/>
      <c r="XEX140" s="32"/>
      <c r="XEY140" s="32"/>
      <c r="XEZ140" s="32"/>
      <c r="XFA140" s="32"/>
      <c r="XFB140" s="32"/>
      <c r="XFC140" s="32"/>
      <c r="XFD140" s="32"/>
    </row>
    <row r="141" s="40" customFormat="true" ht="18.75" hidden="false" customHeight="true" outlineLevel="0" collapsed="false">
      <c r="A141" s="42" t="s">
        <v>735</v>
      </c>
      <c r="B141" s="39" t="s">
        <v>266</v>
      </c>
      <c r="C141" s="42"/>
      <c r="D141" s="38" t="s">
        <v>267</v>
      </c>
      <c r="E141" s="38" t="s">
        <v>736</v>
      </c>
      <c r="F141" s="38"/>
      <c r="G141" s="59" t="s">
        <v>737</v>
      </c>
      <c r="H141" s="39"/>
      <c r="I141" s="39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1" t="n">
        <v>608.12</v>
      </c>
      <c r="V141" s="62"/>
      <c r="W141" s="62"/>
      <c r="X141" s="62"/>
      <c r="Y141" s="62"/>
      <c r="Z141" s="62"/>
      <c r="AA141" s="60"/>
      <c r="XEN141" s="32"/>
      <c r="XEO141" s="32"/>
      <c r="XEP141" s="32"/>
      <c r="XEQ141" s="32"/>
      <c r="XER141" s="32"/>
      <c r="XES141" s="32"/>
      <c r="XET141" s="32"/>
      <c r="XEU141" s="32"/>
      <c r="XEV141" s="32"/>
      <c r="XEW141" s="32"/>
      <c r="XEX141" s="32"/>
      <c r="XEY141" s="32"/>
      <c r="XEZ141" s="32"/>
      <c r="XFA141" s="32"/>
      <c r="XFB141" s="32"/>
      <c r="XFC141" s="32"/>
      <c r="XFD141" s="32"/>
    </row>
    <row r="142" s="40" customFormat="true" ht="18.75" hidden="false" customHeight="true" outlineLevel="0" collapsed="false">
      <c r="A142" s="42" t="s">
        <v>738</v>
      </c>
      <c r="B142" s="39" t="s">
        <v>266</v>
      </c>
      <c r="C142" s="42"/>
      <c r="D142" s="38" t="s">
        <v>267</v>
      </c>
      <c r="E142" s="38" t="s">
        <v>739</v>
      </c>
      <c r="F142" s="38"/>
      <c r="G142" s="59" t="s">
        <v>740</v>
      </c>
      <c r="H142" s="39"/>
      <c r="I142" s="39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1" t="n">
        <v>608.12</v>
      </c>
      <c r="V142" s="62"/>
      <c r="W142" s="62"/>
      <c r="X142" s="62"/>
      <c r="Y142" s="62"/>
      <c r="Z142" s="62"/>
      <c r="AA142" s="60"/>
      <c r="XEN142" s="32"/>
      <c r="XEO142" s="32"/>
      <c r="XEP142" s="32"/>
      <c r="XEQ142" s="32"/>
      <c r="XER142" s="32"/>
      <c r="XES142" s="32"/>
      <c r="XET142" s="32"/>
      <c r="XEU142" s="32"/>
      <c r="XEV142" s="32"/>
      <c r="XEW142" s="32"/>
      <c r="XEX142" s="32"/>
      <c r="XEY142" s="32"/>
      <c r="XEZ142" s="32"/>
      <c r="XFA142" s="32"/>
      <c r="XFB142" s="32"/>
      <c r="XFC142" s="32"/>
      <c r="XFD142" s="32"/>
    </row>
    <row r="143" s="40" customFormat="true" ht="18.75" hidden="false" customHeight="true" outlineLevel="0" collapsed="false">
      <c r="A143" s="42" t="s">
        <v>741</v>
      </c>
      <c r="B143" s="37" t="n">
        <v>23932966000162</v>
      </c>
      <c r="C143" s="42"/>
      <c r="D143" s="38" t="s">
        <v>152</v>
      </c>
      <c r="E143" s="38" t="s">
        <v>742</v>
      </c>
      <c r="F143" s="38"/>
      <c r="G143" s="59" t="n">
        <v>33548</v>
      </c>
      <c r="H143" s="39"/>
      <c r="I143" s="39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1" t="n">
        <v>608.12</v>
      </c>
      <c r="V143" s="62"/>
      <c r="W143" s="62"/>
      <c r="X143" s="62"/>
      <c r="Y143" s="62"/>
      <c r="Z143" s="62"/>
      <c r="AA143" s="60"/>
      <c r="XEN143" s="32"/>
      <c r="XEO143" s="32"/>
      <c r="XEP143" s="32"/>
      <c r="XEQ143" s="32"/>
      <c r="XER143" s="32"/>
      <c r="XES143" s="32"/>
      <c r="XET143" s="32"/>
      <c r="XEU143" s="32"/>
      <c r="XEV143" s="32"/>
      <c r="XEW143" s="32"/>
      <c r="XEX143" s="32"/>
      <c r="XEY143" s="32"/>
      <c r="XEZ143" s="32"/>
      <c r="XFA143" s="32"/>
      <c r="XFB143" s="32"/>
      <c r="XFC143" s="32"/>
      <c r="XFD143" s="32"/>
    </row>
    <row r="144" s="40" customFormat="true" ht="18.75" hidden="false" customHeight="true" outlineLevel="0" collapsed="false">
      <c r="A144" s="42" t="s">
        <v>743</v>
      </c>
      <c r="B144" s="37" t="n">
        <v>23932966000162</v>
      </c>
      <c r="C144" s="42"/>
      <c r="D144" s="38" t="s">
        <v>152</v>
      </c>
      <c r="E144" s="38" t="s">
        <v>744</v>
      </c>
      <c r="F144" s="38"/>
      <c r="G144" s="59" t="s">
        <v>745</v>
      </c>
      <c r="H144" s="39"/>
      <c r="I144" s="39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1" t="n">
        <v>608.12</v>
      </c>
      <c r="V144" s="62"/>
      <c r="W144" s="62"/>
      <c r="X144" s="62"/>
      <c r="Y144" s="62"/>
      <c r="Z144" s="62"/>
      <c r="AA144" s="60"/>
      <c r="XEN144" s="32"/>
      <c r="XEO144" s="32"/>
      <c r="XEP144" s="32"/>
      <c r="XEQ144" s="32"/>
      <c r="XER144" s="32"/>
      <c r="XES144" s="32"/>
      <c r="XET144" s="32"/>
      <c r="XEU144" s="32"/>
      <c r="XEV144" s="32"/>
      <c r="XEW144" s="32"/>
      <c r="XEX144" s="32"/>
      <c r="XEY144" s="32"/>
      <c r="XEZ144" s="32"/>
      <c r="XFA144" s="32"/>
      <c r="XFB144" s="32"/>
      <c r="XFC144" s="32"/>
      <c r="XFD144" s="32"/>
    </row>
    <row r="145" s="40" customFormat="true" ht="18.75" hidden="false" customHeight="true" outlineLevel="0" collapsed="false">
      <c r="A145" s="42" t="s">
        <v>746</v>
      </c>
      <c r="B145" s="37" t="n">
        <v>23932966000162</v>
      </c>
      <c r="C145" s="42"/>
      <c r="D145" s="38" t="s">
        <v>152</v>
      </c>
      <c r="E145" s="38" t="s">
        <v>747</v>
      </c>
      <c r="F145" s="38"/>
      <c r="G145" s="59" t="s">
        <v>748</v>
      </c>
      <c r="H145" s="39"/>
      <c r="I145" s="39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1" t="n">
        <v>608.12</v>
      </c>
      <c r="V145" s="62"/>
      <c r="W145" s="62"/>
      <c r="X145" s="62"/>
      <c r="Y145" s="62"/>
      <c r="Z145" s="62"/>
      <c r="AA145" s="60"/>
      <c r="XEN145" s="32"/>
      <c r="XEO145" s="32"/>
      <c r="XEP145" s="32"/>
      <c r="XEQ145" s="32"/>
      <c r="XER145" s="32"/>
      <c r="XES145" s="32"/>
      <c r="XET145" s="32"/>
      <c r="XEU145" s="32"/>
      <c r="XEV145" s="32"/>
      <c r="XEW145" s="32"/>
      <c r="XEX145" s="32"/>
      <c r="XEY145" s="32"/>
      <c r="XEZ145" s="32"/>
      <c r="XFA145" s="32"/>
      <c r="XFB145" s="32"/>
      <c r="XFC145" s="32"/>
      <c r="XFD145" s="32"/>
    </row>
    <row r="146" s="40" customFormat="true" ht="18.75" hidden="false" customHeight="true" outlineLevel="0" collapsed="false">
      <c r="A146" s="67" t="s">
        <v>749</v>
      </c>
      <c r="B146" s="43" t="s">
        <v>361</v>
      </c>
      <c r="C146" s="44"/>
      <c r="D146" s="40" t="s">
        <v>362</v>
      </c>
      <c r="E146" s="40" t="s">
        <v>750</v>
      </c>
      <c r="F146" s="39"/>
      <c r="G146" s="59" t="n">
        <v>29454</v>
      </c>
      <c r="H146" s="61"/>
      <c r="I146" s="69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2" t="n">
        <v>608.12</v>
      </c>
      <c r="V146" s="62"/>
      <c r="W146" s="62"/>
      <c r="X146" s="62"/>
      <c r="Y146" s="62"/>
      <c r="Z146" s="62"/>
      <c r="AA146" s="63"/>
      <c r="XEN146" s="32"/>
      <c r="XEO146" s="32"/>
      <c r="XEP146" s="32"/>
      <c r="XEQ146" s="32"/>
      <c r="XER146" s="32"/>
      <c r="XES146" s="32"/>
      <c r="XET146" s="32"/>
      <c r="XEU146" s="32"/>
      <c r="XEV146" s="32"/>
      <c r="XEW146" s="32"/>
      <c r="XEX146" s="32"/>
      <c r="XEY146" s="32"/>
      <c r="XEZ146" s="32"/>
      <c r="XFA146" s="32"/>
      <c r="XFB146" s="32"/>
      <c r="XFC146" s="32"/>
      <c r="XFD146" s="32"/>
    </row>
    <row r="147" s="40" customFormat="true" ht="18.75" hidden="false" customHeight="true" outlineLevel="0" collapsed="false">
      <c r="A147" s="67" t="s">
        <v>751</v>
      </c>
      <c r="B147" s="43" t="s">
        <v>361</v>
      </c>
      <c r="C147" s="44"/>
      <c r="D147" s="40" t="s">
        <v>362</v>
      </c>
      <c r="E147" s="40" t="s">
        <v>752</v>
      </c>
      <c r="F147" s="39"/>
      <c r="G147" s="59" t="n">
        <v>25151</v>
      </c>
      <c r="H147" s="39"/>
      <c r="I147" s="39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2" t="n">
        <v>608.12</v>
      </c>
      <c r="V147" s="62"/>
      <c r="W147" s="62"/>
      <c r="X147" s="62"/>
      <c r="Y147" s="62"/>
      <c r="Z147" s="62"/>
      <c r="AA147" s="60"/>
      <c r="XEN147" s="32"/>
      <c r="XEO147" s="32"/>
      <c r="XEP147" s="32"/>
      <c r="XEQ147" s="32"/>
      <c r="XER147" s="32"/>
      <c r="XES147" s="32"/>
      <c r="XET147" s="32"/>
      <c r="XEU147" s="32"/>
      <c r="XEV147" s="32"/>
      <c r="XEW147" s="32"/>
      <c r="XEX147" s="32"/>
      <c r="XEY147" s="32"/>
      <c r="XEZ147" s="32"/>
      <c r="XFA147" s="32"/>
      <c r="XFB147" s="32"/>
      <c r="XFC147" s="32"/>
      <c r="XFD147" s="32"/>
    </row>
    <row r="148" s="40" customFormat="true" ht="18.75" hidden="false" customHeight="true" outlineLevel="0" collapsed="false">
      <c r="A148" s="67" t="s">
        <v>753</v>
      </c>
      <c r="B148" s="43" t="s">
        <v>361</v>
      </c>
      <c r="C148" s="44"/>
      <c r="D148" s="40" t="s">
        <v>362</v>
      </c>
      <c r="E148" s="40" t="s">
        <v>754</v>
      </c>
      <c r="F148" s="39"/>
      <c r="G148" s="59" t="n">
        <v>37518</v>
      </c>
      <c r="H148" s="39"/>
      <c r="I148" s="39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2" t="n">
        <v>608.12</v>
      </c>
      <c r="V148" s="62"/>
      <c r="W148" s="62"/>
      <c r="X148" s="62"/>
      <c r="Y148" s="62"/>
      <c r="Z148" s="62"/>
      <c r="AA148" s="60"/>
      <c r="XEN148" s="32"/>
      <c r="XEO148" s="32"/>
      <c r="XEP148" s="32"/>
      <c r="XEQ148" s="32"/>
      <c r="XER148" s="32"/>
      <c r="XES148" s="32"/>
      <c r="XET148" s="32"/>
      <c r="XEU148" s="32"/>
      <c r="XEV148" s="32"/>
      <c r="XEW148" s="32"/>
      <c r="XEX148" s="32"/>
      <c r="XEY148" s="32"/>
      <c r="XEZ148" s="32"/>
      <c r="XFA148" s="32"/>
      <c r="XFB148" s="32"/>
      <c r="XFC148" s="32"/>
      <c r="XFD148" s="32"/>
    </row>
    <row r="149" s="40" customFormat="true" ht="18.75" hidden="false" customHeight="true" outlineLevel="0" collapsed="false">
      <c r="A149" s="67" t="s">
        <v>755</v>
      </c>
      <c r="B149" s="43" t="s">
        <v>361</v>
      </c>
      <c r="C149" s="44"/>
      <c r="D149" s="40" t="s">
        <v>362</v>
      </c>
      <c r="E149" s="40" t="s">
        <v>756</v>
      </c>
      <c r="F149" s="39"/>
      <c r="G149" s="59" t="n">
        <v>29167</v>
      </c>
      <c r="H149" s="39"/>
      <c r="I149" s="39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2" t="n">
        <v>608.12</v>
      </c>
      <c r="V149" s="62"/>
      <c r="W149" s="62"/>
      <c r="X149" s="62"/>
      <c r="Y149" s="62"/>
      <c r="Z149" s="62"/>
      <c r="AA149" s="60"/>
      <c r="XEN149" s="32"/>
      <c r="XEO149" s="32"/>
      <c r="XEP149" s="32"/>
      <c r="XEQ149" s="32"/>
      <c r="XER149" s="32"/>
      <c r="XES149" s="32"/>
      <c r="XET149" s="32"/>
      <c r="XEU149" s="32"/>
      <c r="XEV149" s="32"/>
      <c r="XEW149" s="32"/>
      <c r="XEX149" s="32"/>
      <c r="XEY149" s="32"/>
      <c r="XEZ149" s="32"/>
      <c r="XFA149" s="32"/>
      <c r="XFB149" s="32"/>
      <c r="XFC149" s="32"/>
      <c r="XFD149" s="32"/>
    </row>
    <row r="150" s="40" customFormat="true" ht="18.75" hidden="false" customHeight="true" outlineLevel="0" collapsed="false">
      <c r="A150" s="67" t="s">
        <v>757</v>
      </c>
      <c r="B150" s="43" t="s">
        <v>361</v>
      </c>
      <c r="C150" s="44"/>
      <c r="D150" s="40" t="s">
        <v>362</v>
      </c>
      <c r="E150" s="40" t="s">
        <v>758</v>
      </c>
      <c r="F150" s="39"/>
      <c r="G150" s="59" t="n">
        <v>27012</v>
      </c>
      <c r="H150" s="39"/>
      <c r="I150" s="39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2" t="n">
        <v>608.12</v>
      </c>
      <c r="V150" s="62"/>
      <c r="W150" s="62"/>
      <c r="X150" s="62"/>
      <c r="Y150" s="62"/>
      <c r="Z150" s="62"/>
      <c r="AA150" s="60"/>
      <c r="XEN150" s="32"/>
      <c r="XEO150" s="32"/>
      <c r="XEP150" s="32"/>
      <c r="XEQ150" s="32"/>
      <c r="XER150" s="32"/>
      <c r="XES150" s="32"/>
      <c r="XET150" s="32"/>
      <c r="XEU150" s="32"/>
      <c r="XEV150" s="32"/>
      <c r="XEW150" s="32"/>
      <c r="XEX150" s="32"/>
      <c r="XEY150" s="32"/>
      <c r="XEZ150" s="32"/>
      <c r="XFA150" s="32"/>
      <c r="XFB150" s="32"/>
      <c r="XFC150" s="32"/>
      <c r="XFD150" s="32"/>
    </row>
    <row r="151" s="40" customFormat="true" ht="18.75" hidden="false" customHeight="true" outlineLevel="0" collapsed="false">
      <c r="A151" s="67" t="s">
        <v>759</v>
      </c>
      <c r="B151" s="43" t="s">
        <v>361</v>
      </c>
      <c r="C151" s="44"/>
      <c r="D151" s="40" t="s">
        <v>362</v>
      </c>
      <c r="E151" s="40" t="s">
        <v>760</v>
      </c>
      <c r="F151" s="39"/>
      <c r="G151" s="59" t="n">
        <v>25077</v>
      </c>
      <c r="H151" s="39"/>
      <c r="I151" s="39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2" t="n">
        <v>608.12</v>
      </c>
      <c r="V151" s="62"/>
      <c r="W151" s="62"/>
      <c r="X151" s="62"/>
      <c r="Y151" s="62"/>
      <c r="Z151" s="62"/>
      <c r="AA151" s="60"/>
      <c r="XEN151" s="32"/>
      <c r="XEO151" s="32"/>
      <c r="XEP151" s="32"/>
      <c r="XEQ151" s="32"/>
      <c r="XER151" s="32"/>
      <c r="XES151" s="32"/>
      <c r="XET151" s="32"/>
      <c r="XEU151" s="32"/>
      <c r="XEV151" s="32"/>
      <c r="XEW151" s="32"/>
      <c r="XEX151" s="32"/>
      <c r="XEY151" s="32"/>
      <c r="XEZ151" s="32"/>
      <c r="XFA151" s="32"/>
      <c r="XFB151" s="32"/>
      <c r="XFC151" s="32"/>
      <c r="XFD151" s="32"/>
    </row>
    <row r="152" s="40" customFormat="true" ht="18.75" hidden="false" customHeight="true" outlineLevel="0" collapsed="false">
      <c r="A152" s="67" t="s">
        <v>761</v>
      </c>
      <c r="B152" s="43" t="s">
        <v>361</v>
      </c>
      <c r="C152" s="44"/>
      <c r="D152" s="40" t="s">
        <v>362</v>
      </c>
      <c r="E152" s="40" t="s">
        <v>762</v>
      </c>
      <c r="F152" s="39"/>
      <c r="G152" s="59" t="n">
        <v>38960</v>
      </c>
      <c r="H152" s="39"/>
      <c r="I152" s="39"/>
      <c r="J152" s="60"/>
      <c r="K152" s="60"/>
      <c r="L152" s="60"/>
      <c r="M152" s="60"/>
      <c r="N152" s="60"/>
      <c r="O152" s="60"/>
      <c r="P152" s="60"/>
      <c r="Q152" s="60"/>
      <c r="R152" s="60"/>
      <c r="S152" s="60"/>
      <c r="T152" s="60"/>
      <c r="U152" s="62" t="n">
        <v>608.12</v>
      </c>
      <c r="V152" s="62"/>
      <c r="W152" s="62"/>
      <c r="X152" s="62"/>
      <c r="Y152" s="62"/>
      <c r="Z152" s="62"/>
      <c r="AA152" s="60"/>
      <c r="XEN152" s="32"/>
      <c r="XEO152" s="32"/>
      <c r="XEP152" s="32"/>
      <c r="XEQ152" s="32"/>
      <c r="XER152" s="32"/>
      <c r="XES152" s="32"/>
      <c r="XET152" s="32"/>
      <c r="XEU152" s="32"/>
      <c r="XEV152" s="32"/>
      <c r="XEW152" s="32"/>
      <c r="XEX152" s="32"/>
      <c r="XEY152" s="32"/>
      <c r="XEZ152" s="32"/>
      <c r="XFA152" s="32"/>
      <c r="XFB152" s="32"/>
      <c r="XFC152" s="32"/>
      <c r="XFD152" s="32"/>
    </row>
    <row r="153" s="40" customFormat="true" ht="18.75" hidden="false" customHeight="true" outlineLevel="0" collapsed="false">
      <c r="A153" s="42" t="s">
        <v>763</v>
      </c>
      <c r="B153" s="39" t="s">
        <v>270</v>
      </c>
      <c r="C153" s="42"/>
      <c r="D153" s="38" t="s">
        <v>271</v>
      </c>
      <c r="E153" s="38" t="s">
        <v>764</v>
      </c>
      <c r="F153" s="38"/>
      <c r="G153" s="59" t="s">
        <v>765</v>
      </c>
      <c r="H153" s="39"/>
      <c r="I153" s="39"/>
      <c r="J153" s="60"/>
      <c r="K153" s="60"/>
      <c r="L153" s="60"/>
      <c r="M153" s="60"/>
      <c r="N153" s="60"/>
      <c r="O153" s="60"/>
      <c r="P153" s="60"/>
      <c r="Q153" s="60"/>
      <c r="R153" s="60"/>
      <c r="S153" s="60"/>
      <c r="T153" s="60"/>
      <c r="U153" s="61" t="n">
        <v>1025.51</v>
      </c>
      <c r="V153" s="62"/>
      <c r="W153" s="62"/>
      <c r="X153" s="62"/>
      <c r="Y153" s="62"/>
      <c r="Z153" s="62"/>
      <c r="AA153" s="60"/>
      <c r="XEN153" s="32"/>
      <c r="XEO153" s="32"/>
      <c r="XEP153" s="32"/>
      <c r="XEQ153" s="32"/>
      <c r="XER153" s="32"/>
      <c r="XES153" s="32"/>
      <c r="XET153" s="32"/>
      <c r="XEU153" s="32"/>
      <c r="XEV153" s="32"/>
      <c r="XEW153" s="32"/>
      <c r="XEX153" s="32"/>
      <c r="XEY153" s="32"/>
      <c r="XEZ153" s="32"/>
      <c r="XFA153" s="32"/>
      <c r="XFB153" s="32"/>
      <c r="XFC153" s="32"/>
      <c r="XFD153" s="32"/>
    </row>
    <row r="154" s="40" customFormat="true" ht="18.75" hidden="false" customHeight="true" outlineLevel="0" collapsed="false">
      <c r="A154" s="42" t="s">
        <v>766</v>
      </c>
      <c r="B154" s="37" t="s">
        <v>168</v>
      </c>
      <c r="C154" s="42"/>
      <c r="D154" s="38" t="s">
        <v>169</v>
      </c>
      <c r="E154" s="38" t="s">
        <v>767</v>
      </c>
      <c r="F154" s="38"/>
      <c r="G154" s="65" t="s">
        <v>589</v>
      </c>
      <c r="H154" s="39"/>
      <c r="I154" s="39"/>
      <c r="J154" s="60"/>
      <c r="K154" s="60"/>
      <c r="L154" s="60"/>
      <c r="M154" s="60"/>
      <c r="N154" s="60"/>
      <c r="O154" s="60"/>
      <c r="P154" s="60"/>
      <c r="Q154" s="60"/>
      <c r="R154" s="60"/>
      <c r="S154" s="60"/>
      <c r="T154" s="60"/>
      <c r="U154" s="61" t="n">
        <v>608.12</v>
      </c>
      <c r="V154" s="62"/>
      <c r="W154" s="62"/>
      <c r="X154" s="62"/>
      <c r="Y154" s="62"/>
      <c r="Z154" s="62"/>
      <c r="AA154" s="60"/>
      <c r="XEN154" s="32"/>
      <c r="XEO154" s="32"/>
      <c r="XEP154" s="32"/>
      <c r="XEQ154" s="32"/>
      <c r="XER154" s="32"/>
      <c r="XES154" s="32"/>
      <c r="XET154" s="32"/>
      <c r="XEU154" s="32"/>
      <c r="XEV154" s="32"/>
      <c r="XEW154" s="32"/>
      <c r="XEX154" s="32"/>
      <c r="XEY154" s="32"/>
      <c r="XEZ154" s="32"/>
      <c r="XFA154" s="32"/>
      <c r="XFB154" s="32"/>
      <c r="XFC154" s="32"/>
      <c r="XFD154" s="32"/>
    </row>
    <row r="155" s="40" customFormat="true" ht="18.75" hidden="false" customHeight="true" outlineLevel="0" collapsed="false">
      <c r="A155" s="42" t="s">
        <v>768</v>
      </c>
      <c r="B155" s="39" t="s">
        <v>302</v>
      </c>
      <c r="C155" s="42"/>
      <c r="D155" s="38" t="s">
        <v>303</v>
      </c>
      <c r="E155" s="38" t="s">
        <v>769</v>
      </c>
      <c r="F155" s="38"/>
      <c r="G155" s="59" t="s">
        <v>770</v>
      </c>
      <c r="H155" s="39"/>
      <c r="I155" s="39"/>
      <c r="J155" s="60"/>
      <c r="K155" s="60"/>
      <c r="L155" s="60"/>
      <c r="M155" s="60"/>
      <c r="N155" s="60"/>
      <c r="O155" s="60"/>
      <c r="P155" s="60"/>
      <c r="Q155" s="60"/>
      <c r="R155" s="60"/>
      <c r="S155" s="60"/>
      <c r="T155" s="60"/>
      <c r="U155" s="61" t="n">
        <v>608.12</v>
      </c>
      <c r="V155" s="62"/>
      <c r="W155" s="62"/>
      <c r="X155" s="62"/>
      <c r="Y155" s="62"/>
      <c r="Z155" s="62"/>
      <c r="AA155" s="60"/>
      <c r="XEN155" s="32"/>
      <c r="XEO155" s="32"/>
      <c r="XEP155" s="32"/>
      <c r="XEQ155" s="32"/>
      <c r="XER155" s="32"/>
      <c r="XES155" s="32"/>
      <c r="XET155" s="32"/>
      <c r="XEU155" s="32"/>
      <c r="XEV155" s="32"/>
      <c r="XEW155" s="32"/>
      <c r="XEX155" s="32"/>
      <c r="XEY155" s="32"/>
      <c r="XEZ155" s="32"/>
      <c r="XFA155" s="32"/>
      <c r="XFB155" s="32"/>
      <c r="XFC155" s="32"/>
      <c r="XFD155" s="32"/>
    </row>
    <row r="156" s="40" customFormat="true" ht="18.75" hidden="false" customHeight="true" outlineLevel="0" collapsed="false">
      <c r="A156" s="42" t="s">
        <v>771</v>
      </c>
      <c r="B156" s="39" t="s">
        <v>252</v>
      </c>
      <c r="C156" s="42"/>
      <c r="D156" s="38" t="s">
        <v>253</v>
      </c>
      <c r="E156" s="38" t="s">
        <v>772</v>
      </c>
      <c r="F156" s="38"/>
      <c r="G156" s="59" t="s">
        <v>773</v>
      </c>
      <c r="H156" s="39"/>
      <c r="I156" s="39"/>
      <c r="J156" s="60"/>
      <c r="K156" s="60"/>
      <c r="L156" s="60"/>
      <c r="M156" s="60"/>
      <c r="N156" s="60"/>
      <c r="O156" s="60"/>
      <c r="P156" s="60"/>
      <c r="Q156" s="60"/>
      <c r="R156" s="60"/>
      <c r="S156" s="60"/>
      <c r="T156" s="60"/>
      <c r="U156" s="61" t="n">
        <v>608.12</v>
      </c>
      <c r="V156" s="62"/>
      <c r="W156" s="62"/>
      <c r="X156" s="62"/>
      <c r="Y156" s="62"/>
      <c r="Z156" s="62"/>
      <c r="AA156" s="60"/>
      <c r="XEN156" s="32"/>
      <c r="XEO156" s="32"/>
      <c r="XEP156" s="32"/>
      <c r="XEQ156" s="32"/>
      <c r="XER156" s="32"/>
      <c r="XES156" s="32"/>
      <c r="XET156" s="32"/>
      <c r="XEU156" s="32"/>
      <c r="XEV156" s="32"/>
      <c r="XEW156" s="32"/>
      <c r="XEX156" s="32"/>
      <c r="XEY156" s="32"/>
      <c r="XEZ156" s="32"/>
      <c r="XFA156" s="32"/>
      <c r="XFB156" s="32"/>
      <c r="XFC156" s="32"/>
      <c r="XFD156" s="32"/>
    </row>
    <row r="157" s="40" customFormat="true" ht="18.75" hidden="false" customHeight="true" outlineLevel="0" collapsed="false">
      <c r="A157" s="42" t="s">
        <v>774</v>
      </c>
      <c r="B157" s="39" t="s">
        <v>244</v>
      </c>
      <c r="C157" s="42"/>
      <c r="D157" s="38" t="s">
        <v>245</v>
      </c>
      <c r="E157" s="38" t="s">
        <v>775</v>
      </c>
      <c r="F157" s="38"/>
      <c r="G157" s="59" t="n">
        <v>23477</v>
      </c>
      <c r="H157" s="39"/>
      <c r="I157" s="39"/>
      <c r="J157" s="60"/>
      <c r="K157" s="60"/>
      <c r="L157" s="60"/>
      <c r="M157" s="60"/>
      <c r="N157" s="60"/>
      <c r="O157" s="60"/>
      <c r="P157" s="60"/>
      <c r="Q157" s="60"/>
      <c r="R157" s="60"/>
      <c r="S157" s="60"/>
      <c r="T157" s="60"/>
      <c r="U157" s="61" t="n">
        <v>608.12</v>
      </c>
      <c r="V157" s="62"/>
      <c r="W157" s="62"/>
      <c r="X157" s="62"/>
      <c r="Y157" s="62"/>
      <c r="Z157" s="62"/>
      <c r="AA157" s="60"/>
      <c r="XEN157" s="32"/>
      <c r="XEO157" s="32"/>
      <c r="XEP157" s="32"/>
      <c r="XEQ157" s="32"/>
      <c r="XER157" s="32"/>
      <c r="XES157" s="32"/>
      <c r="XET157" s="32"/>
      <c r="XEU157" s="32"/>
      <c r="XEV157" s="32"/>
      <c r="XEW157" s="32"/>
      <c r="XEX157" s="32"/>
      <c r="XEY157" s="32"/>
      <c r="XEZ157" s="32"/>
      <c r="XFA157" s="32"/>
      <c r="XFB157" s="32"/>
      <c r="XFC157" s="32"/>
      <c r="XFD157" s="32"/>
    </row>
    <row r="158" s="40" customFormat="true" ht="18.75" hidden="false" customHeight="true" outlineLevel="0" collapsed="false">
      <c r="A158" s="42" t="s">
        <v>776</v>
      </c>
      <c r="B158" s="39" t="s">
        <v>244</v>
      </c>
      <c r="C158" s="42"/>
      <c r="D158" s="38" t="s">
        <v>245</v>
      </c>
      <c r="E158" s="38" t="s">
        <v>777</v>
      </c>
      <c r="F158" s="38"/>
      <c r="G158" s="59" t="s">
        <v>778</v>
      </c>
      <c r="H158" s="39"/>
      <c r="I158" s="39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1" t="n">
        <v>608.12</v>
      </c>
      <c r="V158" s="62"/>
      <c r="W158" s="62"/>
      <c r="X158" s="62"/>
      <c r="Y158" s="62"/>
      <c r="Z158" s="62"/>
      <c r="AA158" s="60"/>
      <c r="XEN158" s="32"/>
      <c r="XEO158" s="32"/>
      <c r="XEP158" s="32"/>
      <c r="XEQ158" s="32"/>
      <c r="XER158" s="32"/>
      <c r="XES158" s="32"/>
      <c r="XET158" s="32"/>
      <c r="XEU158" s="32"/>
      <c r="XEV158" s="32"/>
      <c r="XEW158" s="32"/>
      <c r="XEX158" s="32"/>
      <c r="XEY158" s="32"/>
      <c r="XEZ158" s="32"/>
      <c r="XFA158" s="32"/>
      <c r="XFB158" s="32"/>
      <c r="XFC158" s="32"/>
      <c r="XFD158" s="32"/>
    </row>
    <row r="159" s="40" customFormat="true" ht="18.75" hidden="false" customHeight="true" outlineLevel="0" collapsed="false">
      <c r="A159" s="42" t="s">
        <v>779</v>
      </c>
      <c r="B159" s="39" t="s">
        <v>244</v>
      </c>
      <c r="C159" s="42"/>
      <c r="D159" s="38" t="s">
        <v>245</v>
      </c>
      <c r="E159" s="38" t="s">
        <v>780</v>
      </c>
      <c r="F159" s="38"/>
      <c r="G159" s="59" t="s">
        <v>781</v>
      </c>
      <c r="H159" s="39"/>
      <c r="I159" s="39"/>
      <c r="J159" s="60"/>
      <c r="K159" s="60"/>
      <c r="L159" s="60"/>
      <c r="M159" s="60"/>
      <c r="N159" s="60"/>
      <c r="O159" s="60"/>
      <c r="P159" s="60"/>
      <c r="Q159" s="60"/>
      <c r="R159" s="60"/>
      <c r="S159" s="60"/>
      <c r="T159" s="60"/>
      <c r="U159" s="61" t="n">
        <v>608.12</v>
      </c>
      <c r="V159" s="62"/>
      <c r="W159" s="62"/>
      <c r="X159" s="62"/>
      <c r="Y159" s="62"/>
      <c r="Z159" s="62"/>
      <c r="AA159" s="60"/>
      <c r="XEN159" s="32"/>
      <c r="XEO159" s="32"/>
      <c r="XEP159" s="32"/>
      <c r="XEQ159" s="32"/>
      <c r="XER159" s="32"/>
      <c r="XES159" s="32"/>
      <c r="XET159" s="32"/>
      <c r="XEU159" s="32"/>
      <c r="XEV159" s="32"/>
      <c r="XEW159" s="32"/>
      <c r="XEX159" s="32"/>
      <c r="XEY159" s="32"/>
      <c r="XEZ159" s="32"/>
      <c r="XFA159" s="32"/>
      <c r="XFB159" s="32"/>
      <c r="XFC159" s="32"/>
      <c r="XFD159" s="32"/>
    </row>
    <row r="160" s="40" customFormat="true" ht="18.75" hidden="false" customHeight="true" outlineLevel="0" collapsed="false">
      <c r="A160" s="42" t="s">
        <v>782</v>
      </c>
      <c r="B160" s="39" t="s">
        <v>278</v>
      </c>
      <c r="C160" s="38"/>
      <c r="D160" s="38" t="s">
        <v>279</v>
      </c>
      <c r="E160" s="38" t="s">
        <v>783</v>
      </c>
      <c r="F160" s="38"/>
      <c r="G160" s="59" t="n">
        <v>808</v>
      </c>
      <c r="H160" s="39"/>
      <c r="I160" s="39"/>
      <c r="J160" s="60"/>
      <c r="K160" s="60"/>
      <c r="L160" s="60"/>
      <c r="M160" s="60"/>
      <c r="N160" s="60"/>
      <c r="O160" s="60"/>
      <c r="P160" s="60"/>
      <c r="Q160" s="60"/>
      <c r="R160" s="60"/>
      <c r="S160" s="60"/>
      <c r="T160" s="60"/>
      <c r="U160" s="61" t="n">
        <v>608.12</v>
      </c>
      <c r="V160" s="62"/>
      <c r="W160" s="62"/>
      <c r="X160" s="62"/>
      <c r="Y160" s="62"/>
      <c r="Z160" s="62"/>
      <c r="AA160" s="60"/>
      <c r="XEN160" s="32"/>
      <c r="XEO160" s="32"/>
      <c r="XEP160" s="32"/>
      <c r="XEQ160" s="32"/>
      <c r="XER160" s="32"/>
      <c r="XES160" s="32"/>
      <c r="XET160" s="32"/>
      <c r="XEU160" s="32"/>
      <c r="XEV160" s="32"/>
      <c r="XEW160" s="32"/>
      <c r="XEX160" s="32"/>
      <c r="XEY160" s="32"/>
      <c r="XEZ160" s="32"/>
      <c r="XFA160" s="32"/>
      <c r="XFB160" s="32"/>
      <c r="XFC160" s="32"/>
      <c r="XFD160" s="32"/>
    </row>
    <row r="161" s="40" customFormat="true" ht="18.75" hidden="false" customHeight="true" outlineLevel="0" collapsed="false">
      <c r="A161" s="42" t="s">
        <v>784</v>
      </c>
      <c r="B161" s="39" t="s">
        <v>248</v>
      </c>
      <c r="C161" s="42"/>
      <c r="D161" s="38" t="s">
        <v>249</v>
      </c>
      <c r="E161" s="38" t="s">
        <v>785</v>
      </c>
      <c r="F161" s="38"/>
      <c r="G161" s="65" t="n">
        <v>19280</v>
      </c>
      <c r="H161" s="39"/>
      <c r="I161" s="39"/>
      <c r="J161" s="60"/>
      <c r="K161" s="60"/>
      <c r="L161" s="60"/>
      <c r="M161" s="60"/>
      <c r="N161" s="60"/>
      <c r="O161" s="60"/>
      <c r="P161" s="60"/>
      <c r="Q161" s="60"/>
      <c r="R161" s="60"/>
      <c r="S161" s="60"/>
      <c r="T161" s="60"/>
      <c r="U161" s="61" t="n">
        <v>608.12</v>
      </c>
      <c r="V161" s="62"/>
      <c r="W161" s="62"/>
      <c r="X161" s="62"/>
      <c r="Y161" s="62"/>
      <c r="Z161" s="62"/>
      <c r="AA161" s="60"/>
      <c r="XEN161" s="32"/>
      <c r="XEO161" s="32"/>
      <c r="XEP161" s="32"/>
      <c r="XEQ161" s="32"/>
      <c r="XER161" s="32"/>
      <c r="XES161" s="32"/>
      <c r="XET161" s="32"/>
      <c r="XEU161" s="32"/>
      <c r="XEV161" s="32"/>
      <c r="XEW161" s="32"/>
      <c r="XEX161" s="32"/>
      <c r="XEY161" s="32"/>
      <c r="XEZ161" s="32"/>
      <c r="XFA161" s="32"/>
      <c r="XFB161" s="32"/>
      <c r="XFC161" s="32"/>
      <c r="XFD161" s="32"/>
    </row>
    <row r="162" s="40" customFormat="true" ht="18.75" hidden="false" customHeight="true" outlineLevel="0" collapsed="false">
      <c r="A162" s="42" t="s">
        <v>786</v>
      </c>
      <c r="B162" s="39" t="s">
        <v>248</v>
      </c>
      <c r="C162" s="42"/>
      <c r="D162" s="38" t="s">
        <v>249</v>
      </c>
      <c r="E162" s="38" t="s">
        <v>787</v>
      </c>
      <c r="F162" s="38"/>
      <c r="G162" s="59" t="n">
        <v>31263</v>
      </c>
      <c r="H162" s="39"/>
      <c r="I162" s="39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1" t="n">
        <v>949.36</v>
      </c>
      <c r="V162" s="62"/>
      <c r="W162" s="62"/>
      <c r="X162" s="62"/>
      <c r="Y162" s="62"/>
      <c r="Z162" s="62"/>
      <c r="AA162" s="60"/>
      <c r="XEN162" s="32"/>
      <c r="XEO162" s="32"/>
      <c r="XEP162" s="32"/>
      <c r="XEQ162" s="32"/>
      <c r="XER162" s="32"/>
      <c r="XES162" s="32"/>
      <c r="XET162" s="32"/>
      <c r="XEU162" s="32"/>
      <c r="XEV162" s="32"/>
      <c r="XEW162" s="32"/>
      <c r="XEX162" s="32"/>
      <c r="XEY162" s="32"/>
      <c r="XEZ162" s="32"/>
      <c r="XFA162" s="32"/>
      <c r="XFB162" s="32"/>
      <c r="XFC162" s="32"/>
      <c r="XFD162" s="32"/>
    </row>
    <row r="163" s="40" customFormat="true" ht="18.75" hidden="false" customHeight="true" outlineLevel="0" collapsed="false">
      <c r="A163" s="42" t="s">
        <v>788</v>
      </c>
      <c r="B163" s="39" t="s">
        <v>248</v>
      </c>
      <c r="C163" s="42"/>
      <c r="D163" s="38" t="s">
        <v>249</v>
      </c>
      <c r="E163" s="38" t="s">
        <v>789</v>
      </c>
      <c r="F163" s="38"/>
      <c r="G163" s="59" t="n">
        <v>31082</v>
      </c>
      <c r="H163" s="39"/>
      <c r="I163" s="39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1" t="n">
        <v>949.36</v>
      </c>
      <c r="V163" s="62"/>
      <c r="W163" s="62"/>
      <c r="X163" s="62"/>
      <c r="Y163" s="62"/>
      <c r="Z163" s="62"/>
      <c r="AA163" s="60"/>
      <c r="XEN163" s="32"/>
      <c r="XEO163" s="32"/>
      <c r="XEP163" s="32"/>
      <c r="XEQ163" s="32"/>
      <c r="XER163" s="32"/>
      <c r="XES163" s="32"/>
      <c r="XET163" s="32"/>
      <c r="XEU163" s="32"/>
      <c r="XEV163" s="32"/>
      <c r="XEW163" s="32"/>
      <c r="XEX163" s="32"/>
      <c r="XEY163" s="32"/>
      <c r="XEZ163" s="32"/>
      <c r="XFA163" s="32"/>
      <c r="XFB163" s="32"/>
      <c r="XFC163" s="32"/>
      <c r="XFD163" s="32"/>
    </row>
    <row r="164" s="40" customFormat="true" ht="18.75" hidden="false" customHeight="true" outlineLevel="0" collapsed="false">
      <c r="A164" s="42" t="s">
        <v>790</v>
      </c>
      <c r="B164" s="39" t="s">
        <v>248</v>
      </c>
      <c r="C164" s="42"/>
      <c r="D164" s="38" t="s">
        <v>249</v>
      </c>
      <c r="E164" s="38" t="s">
        <v>791</v>
      </c>
      <c r="F164" s="38"/>
      <c r="G164" s="59" t="n">
        <v>46207</v>
      </c>
      <c r="H164" s="39"/>
      <c r="I164" s="39"/>
      <c r="J164" s="60"/>
      <c r="K164" s="64"/>
      <c r="L164" s="60"/>
      <c r="M164" s="60"/>
      <c r="N164" s="60"/>
      <c r="O164" s="60"/>
      <c r="P164" s="60"/>
      <c r="Q164" s="60"/>
      <c r="R164" s="60"/>
      <c r="S164" s="60"/>
      <c r="T164" s="60"/>
      <c r="U164" s="61" t="n">
        <v>949.36</v>
      </c>
      <c r="V164" s="62"/>
      <c r="W164" s="62"/>
      <c r="X164" s="62"/>
      <c r="Y164" s="62"/>
      <c r="Z164" s="62"/>
      <c r="AA164" s="60"/>
      <c r="XEN164" s="32"/>
      <c r="XEO164" s="32"/>
      <c r="XEP164" s="32"/>
      <c r="XEQ164" s="32"/>
      <c r="XER164" s="32"/>
      <c r="XES164" s="32"/>
      <c r="XET164" s="32"/>
      <c r="XEU164" s="32"/>
      <c r="XEV164" s="32"/>
      <c r="XEW164" s="32"/>
      <c r="XEX164" s="32"/>
      <c r="XEY164" s="32"/>
      <c r="XEZ164" s="32"/>
      <c r="XFA164" s="32"/>
      <c r="XFB164" s="32"/>
      <c r="XFC164" s="32"/>
      <c r="XFD164" s="32"/>
    </row>
    <row r="165" s="75" customFormat="true" ht="18.75" hidden="false" customHeight="true" outlineLevel="0" collapsed="false">
      <c r="A165" s="42" t="s">
        <v>792</v>
      </c>
      <c r="B165" s="39" t="s">
        <v>248</v>
      </c>
      <c r="C165" s="42"/>
      <c r="D165" s="38" t="s">
        <v>249</v>
      </c>
      <c r="E165" s="38" t="s">
        <v>793</v>
      </c>
      <c r="F165" s="38"/>
      <c r="G165" s="59" t="s">
        <v>794</v>
      </c>
      <c r="H165" s="39"/>
      <c r="I165" s="39"/>
      <c r="J165" s="60"/>
      <c r="K165" s="60"/>
      <c r="L165" s="60"/>
      <c r="M165" s="60"/>
      <c r="N165" s="60"/>
      <c r="O165" s="60"/>
      <c r="P165" s="60"/>
      <c r="Q165" s="60"/>
      <c r="R165" s="60"/>
      <c r="S165" s="60"/>
      <c r="T165" s="60"/>
      <c r="U165" s="61" t="n">
        <v>949.36</v>
      </c>
      <c r="V165" s="62"/>
      <c r="W165" s="62"/>
      <c r="X165" s="62"/>
      <c r="Y165" s="62"/>
      <c r="Z165" s="62"/>
      <c r="AA165" s="60"/>
      <c r="XEN165" s="32"/>
      <c r="XEO165" s="32"/>
      <c r="XEP165" s="32"/>
      <c r="XEQ165" s="32"/>
      <c r="XER165" s="32"/>
      <c r="XES165" s="32"/>
      <c r="XET165" s="32"/>
      <c r="XEU165" s="32"/>
      <c r="XEV165" s="32"/>
      <c r="XEW165" s="32"/>
      <c r="XEX165" s="32"/>
      <c r="XEY165" s="32"/>
      <c r="XEZ165" s="32"/>
      <c r="XFA165" s="32"/>
      <c r="XFB165" s="32"/>
      <c r="XFC165" s="32"/>
      <c r="XFD165" s="32"/>
    </row>
    <row r="166" s="40" customFormat="true" ht="18.75" hidden="false" customHeight="true" outlineLevel="0" collapsed="false">
      <c r="A166" s="42" t="s">
        <v>795</v>
      </c>
      <c r="B166" s="39" t="s">
        <v>248</v>
      </c>
      <c r="C166" s="42"/>
      <c r="D166" s="38" t="s">
        <v>249</v>
      </c>
      <c r="E166" s="38" t="s">
        <v>796</v>
      </c>
      <c r="F166" s="38"/>
      <c r="G166" s="59" t="s">
        <v>797</v>
      </c>
      <c r="H166" s="39"/>
      <c r="I166" s="39"/>
      <c r="J166" s="60"/>
      <c r="K166" s="60"/>
      <c r="L166" s="60"/>
      <c r="M166" s="60"/>
      <c r="N166" s="60"/>
      <c r="O166" s="60"/>
      <c r="P166" s="60"/>
      <c r="Q166" s="60"/>
      <c r="R166" s="60"/>
      <c r="S166" s="60"/>
      <c r="T166" s="60"/>
      <c r="U166" s="61" t="n">
        <v>949.36</v>
      </c>
      <c r="V166" s="62"/>
      <c r="W166" s="62"/>
      <c r="X166" s="62"/>
      <c r="Y166" s="62"/>
      <c r="Z166" s="62"/>
      <c r="AA166" s="60"/>
      <c r="XEN166" s="32"/>
      <c r="XEO166" s="32"/>
      <c r="XEP166" s="32"/>
      <c r="XEQ166" s="32"/>
      <c r="XER166" s="32"/>
      <c r="XES166" s="32"/>
      <c r="XET166" s="32"/>
      <c r="XEU166" s="32"/>
      <c r="XEV166" s="32"/>
      <c r="XEW166" s="32"/>
      <c r="XEX166" s="32"/>
      <c r="XEY166" s="32"/>
      <c r="XEZ166" s="32"/>
      <c r="XFA166" s="32"/>
      <c r="XFB166" s="32"/>
      <c r="XFC166" s="32"/>
      <c r="XFD166" s="32"/>
    </row>
    <row r="167" s="40" customFormat="true" ht="18.75" hidden="false" customHeight="true" outlineLevel="0" collapsed="false">
      <c r="A167" s="42" t="s">
        <v>798</v>
      </c>
      <c r="B167" s="39" t="s">
        <v>248</v>
      </c>
      <c r="C167" s="42"/>
      <c r="D167" s="38" t="s">
        <v>249</v>
      </c>
      <c r="E167" s="38" t="s">
        <v>799</v>
      </c>
      <c r="F167" s="38"/>
      <c r="G167" s="65" t="s">
        <v>800</v>
      </c>
      <c r="H167" s="39"/>
      <c r="I167" s="39"/>
      <c r="J167" s="60"/>
      <c r="K167" s="60"/>
      <c r="L167" s="60"/>
      <c r="M167" s="60"/>
      <c r="N167" s="60"/>
      <c r="O167" s="60"/>
      <c r="P167" s="60"/>
      <c r="Q167" s="60"/>
      <c r="R167" s="60"/>
      <c r="S167" s="60"/>
      <c r="T167" s="60"/>
      <c r="U167" s="61" t="n">
        <v>949.36</v>
      </c>
      <c r="V167" s="62"/>
      <c r="W167" s="62"/>
      <c r="X167" s="62"/>
      <c r="Y167" s="62"/>
      <c r="Z167" s="62"/>
      <c r="AA167" s="60"/>
      <c r="XEN167" s="32"/>
      <c r="XEO167" s="32"/>
      <c r="XEP167" s="32"/>
      <c r="XEQ167" s="32"/>
      <c r="XER167" s="32"/>
      <c r="XES167" s="32"/>
      <c r="XET167" s="32"/>
      <c r="XEU167" s="32"/>
      <c r="XEV167" s="32"/>
      <c r="XEW167" s="32"/>
      <c r="XEX167" s="32"/>
      <c r="XEY167" s="32"/>
      <c r="XEZ167" s="32"/>
      <c r="XFA167" s="32"/>
      <c r="XFB167" s="32"/>
      <c r="XFC167" s="32"/>
      <c r="XFD167" s="32"/>
    </row>
    <row r="168" s="40" customFormat="true" ht="18.75" hidden="false" customHeight="true" outlineLevel="0" collapsed="false">
      <c r="A168" s="42" t="s">
        <v>801</v>
      </c>
      <c r="B168" s="39" t="s">
        <v>300</v>
      </c>
      <c r="C168" s="42"/>
      <c r="D168" s="38" t="s">
        <v>301</v>
      </c>
      <c r="E168" s="38" t="s">
        <v>802</v>
      </c>
      <c r="F168" s="38"/>
      <c r="G168" s="59" t="s">
        <v>803</v>
      </c>
      <c r="H168" s="39"/>
      <c r="I168" s="39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1" t="n">
        <v>608.12</v>
      </c>
      <c r="V168" s="62"/>
      <c r="W168" s="62"/>
      <c r="X168" s="62"/>
      <c r="Y168" s="62"/>
      <c r="Z168" s="62"/>
      <c r="AA168" s="60"/>
      <c r="XEN168" s="32"/>
      <c r="XEO168" s="32"/>
      <c r="XEP168" s="32"/>
      <c r="XEQ168" s="32"/>
      <c r="XER168" s="32"/>
      <c r="XES168" s="32"/>
      <c r="XET168" s="32"/>
      <c r="XEU168" s="32"/>
      <c r="XEV168" s="32"/>
      <c r="XEW168" s="32"/>
      <c r="XEX168" s="32"/>
      <c r="XEY168" s="32"/>
      <c r="XEZ168" s="32"/>
      <c r="XFA168" s="32"/>
      <c r="XFB168" s="32"/>
      <c r="XFC168" s="32"/>
      <c r="XFD168" s="32"/>
    </row>
    <row r="169" s="40" customFormat="true" ht="18.75" hidden="false" customHeight="true" outlineLevel="0" collapsed="false">
      <c r="A169" s="42" t="s">
        <v>804</v>
      </c>
      <c r="B169" s="37" t="s">
        <v>186</v>
      </c>
      <c r="C169" s="42"/>
      <c r="D169" s="38" t="s">
        <v>187</v>
      </c>
      <c r="E169" s="38" t="s">
        <v>805</v>
      </c>
      <c r="F169" s="38"/>
      <c r="G169" s="59" t="n">
        <v>35887</v>
      </c>
      <c r="H169" s="39"/>
      <c r="I169" s="39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60"/>
      <c r="U169" s="61" t="n">
        <v>751.79</v>
      </c>
      <c r="X169" s="62"/>
      <c r="Y169" s="62"/>
      <c r="Z169" s="62"/>
      <c r="AA169" s="60"/>
      <c r="XEN169" s="32"/>
      <c r="XEO169" s="32"/>
      <c r="XEP169" s="32"/>
      <c r="XEQ169" s="32"/>
      <c r="XER169" s="32"/>
      <c r="XES169" s="32"/>
      <c r="XET169" s="32"/>
      <c r="XEU169" s="32"/>
      <c r="XEV169" s="32"/>
      <c r="XEW169" s="32"/>
      <c r="XEX169" s="32"/>
      <c r="XEY169" s="32"/>
      <c r="XEZ169" s="32"/>
      <c r="XFA169" s="32"/>
      <c r="XFB169" s="32"/>
      <c r="XFC169" s="32"/>
      <c r="XFD169" s="32"/>
    </row>
    <row r="170" s="40" customFormat="true" ht="18.75" hidden="false" customHeight="true" outlineLevel="0" collapsed="false">
      <c r="A170" s="42" t="s">
        <v>806</v>
      </c>
      <c r="B170" s="37" t="s">
        <v>186</v>
      </c>
      <c r="C170" s="42"/>
      <c r="D170" s="38" t="s">
        <v>187</v>
      </c>
      <c r="E170" s="38" t="s">
        <v>807</v>
      </c>
      <c r="F170" s="38"/>
      <c r="G170" s="59" t="s">
        <v>808</v>
      </c>
      <c r="H170" s="39"/>
      <c r="I170" s="39"/>
      <c r="J170" s="60"/>
      <c r="K170" s="60"/>
      <c r="L170" s="60"/>
      <c r="M170" s="60"/>
      <c r="N170" s="60"/>
      <c r="O170" s="60"/>
      <c r="P170" s="60"/>
      <c r="Q170" s="60"/>
      <c r="R170" s="60"/>
      <c r="S170" s="60"/>
      <c r="T170" s="60"/>
      <c r="U170" s="61" t="n">
        <v>751.79</v>
      </c>
      <c r="V170" s="62"/>
      <c r="W170" s="62"/>
      <c r="X170" s="62"/>
      <c r="Y170" s="62"/>
      <c r="Z170" s="62"/>
      <c r="AA170" s="60"/>
      <c r="XEN170" s="32"/>
      <c r="XEO170" s="32"/>
      <c r="XEP170" s="32"/>
      <c r="XEQ170" s="32"/>
      <c r="XER170" s="32"/>
      <c r="XES170" s="32"/>
      <c r="XET170" s="32"/>
      <c r="XEU170" s="32"/>
      <c r="XEV170" s="32"/>
      <c r="XEW170" s="32"/>
      <c r="XEX170" s="32"/>
      <c r="XEY170" s="32"/>
      <c r="XEZ170" s="32"/>
      <c r="XFA170" s="32"/>
      <c r="XFB170" s="32"/>
      <c r="XFC170" s="32"/>
      <c r="XFD170" s="32"/>
    </row>
    <row r="171" s="40" customFormat="true" ht="18.75" hidden="false" customHeight="true" outlineLevel="0" collapsed="false">
      <c r="A171" s="42" t="s">
        <v>809</v>
      </c>
      <c r="B171" s="37" t="s">
        <v>186</v>
      </c>
      <c r="C171" s="42"/>
      <c r="D171" s="38" t="s">
        <v>187</v>
      </c>
      <c r="E171" s="38" t="s">
        <v>810</v>
      </c>
      <c r="F171" s="38"/>
      <c r="G171" s="59" t="n">
        <v>23475</v>
      </c>
      <c r="H171" s="39"/>
      <c r="I171" s="39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1" t="n">
        <v>751.79</v>
      </c>
      <c r="V171" s="62"/>
      <c r="W171" s="62"/>
      <c r="X171" s="62"/>
      <c r="Y171" s="62"/>
      <c r="Z171" s="62"/>
      <c r="AA171" s="60"/>
      <c r="XEN171" s="32"/>
      <c r="XEO171" s="32"/>
      <c r="XEP171" s="32"/>
      <c r="XEQ171" s="32"/>
      <c r="XER171" s="32"/>
      <c r="XES171" s="32"/>
      <c r="XET171" s="32"/>
      <c r="XEU171" s="32"/>
      <c r="XEV171" s="32"/>
      <c r="XEW171" s="32"/>
      <c r="XEX171" s="32"/>
      <c r="XEY171" s="32"/>
      <c r="XEZ171" s="32"/>
      <c r="XFA171" s="32"/>
      <c r="XFB171" s="32"/>
      <c r="XFC171" s="32"/>
      <c r="XFD171" s="32"/>
    </row>
    <row r="172" s="40" customFormat="true" ht="18.75" hidden="false" customHeight="true" outlineLevel="0" collapsed="false">
      <c r="A172" s="42" t="s">
        <v>811</v>
      </c>
      <c r="B172" s="37" t="s">
        <v>186</v>
      </c>
      <c r="C172" s="42"/>
      <c r="D172" s="38" t="s">
        <v>187</v>
      </c>
      <c r="E172" s="38" t="s">
        <v>812</v>
      </c>
      <c r="F172" s="38"/>
      <c r="G172" s="59" t="n">
        <v>26362</v>
      </c>
      <c r="H172" s="39"/>
      <c r="I172" s="39"/>
      <c r="J172" s="60"/>
      <c r="K172" s="60"/>
      <c r="L172" s="60"/>
      <c r="M172" s="60"/>
      <c r="N172" s="60"/>
      <c r="O172" s="60"/>
      <c r="P172" s="60"/>
      <c r="Q172" s="60"/>
      <c r="R172" s="60"/>
      <c r="S172" s="60"/>
      <c r="T172" s="60"/>
      <c r="U172" s="61" t="n">
        <v>751.79</v>
      </c>
      <c r="V172" s="62"/>
      <c r="W172" s="62"/>
      <c r="X172" s="62"/>
      <c r="Y172" s="62"/>
      <c r="Z172" s="62"/>
      <c r="AA172" s="60"/>
      <c r="XEN172" s="32"/>
      <c r="XEO172" s="32"/>
      <c r="XEP172" s="32"/>
      <c r="XEQ172" s="32"/>
      <c r="XER172" s="32"/>
      <c r="XES172" s="32"/>
      <c r="XET172" s="32"/>
      <c r="XEU172" s="32"/>
      <c r="XEV172" s="32"/>
      <c r="XEW172" s="32"/>
      <c r="XEX172" s="32"/>
      <c r="XEY172" s="32"/>
      <c r="XEZ172" s="32"/>
      <c r="XFA172" s="32"/>
      <c r="XFB172" s="32"/>
      <c r="XFC172" s="32"/>
      <c r="XFD172" s="32"/>
    </row>
    <row r="173" s="40" customFormat="true" ht="18.75" hidden="false" customHeight="true" outlineLevel="0" collapsed="false">
      <c r="A173" s="42" t="s">
        <v>813</v>
      </c>
      <c r="B173" s="37" t="s">
        <v>186</v>
      </c>
      <c r="C173" s="42"/>
      <c r="D173" s="38" t="s">
        <v>187</v>
      </c>
      <c r="E173" s="38" t="s">
        <v>814</v>
      </c>
      <c r="F173" s="38"/>
      <c r="G173" s="59" t="s">
        <v>815</v>
      </c>
      <c r="H173" s="39"/>
      <c r="I173" s="39"/>
      <c r="J173" s="60"/>
      <c r="K173" s="60"/>
      <c r="L173" s="60"/>
      <c r="M173" s="60"/>
      <c r="N173" s="60"/>
      <c r="O173" s="60"/>
      <c r="P173" s="60"/>
      <c r="Q173" s="60"/>
      <c r="R173" s="60"/>
      <c r="S173" s="60"/>
      <c r="T173" s="60"/>
      <c r="U173" s="61" t="n">
        <v>751.79</v>
      </c>
      <c r="V173" s="62"/>
      <c r="W173" s="62"/>
      <c r="X173" s="62"/>
      <c r="Y173" s="62"/>
      <c r="Z173" s="62"/>
      <c r="AA173" s="60"/>
      <c r="XEN173" s="32"/>
      <c r="XEO173" s="32"/>
      <c r="XEP173" s="32"/>
      <c r="XEQ173" s="32"/>
      <c r="XER173" s="32"/>
      <c r="XES173" s="32"/>
      <c r="XET173" s="32"/>
      <c r="XEU173" s="32"/>
      <c r="XEV173" s="32"/>
      <c r="XEW173" s="32"/>
      <c r="XEX173" s="32"/>
      <c r="XEY173" s="32"/>
      <c r="XEZ173" s="32"/>
      <c r="XFA173" s="32"/>
      <c r="XFB173" s="32"/>
      <c r="XFC173" s="32"/>
      <c r="XFD173" s="32"/>
    </row>
    <row r="174" s="40" customFormat="true" ht="18.75" hidden="false" customHeight="true" outlineLevel="0" collapsed="false">
      <c r="A174" s="42" t="s">
        <v>816</v>
      </c>
      <c r="B174" s="37" t="s">
        <v>186</v>
      </c>
      <c r="C174" s="42"/>
      <c r="D174" s="38" t="s">
        <v>187</v>
      </c>
      <c r="E174" s="38" t="s">
        <v>817</v>
      </c>
      <c r="F174" s="38"/>
      <c r="G174" s="59" t="s">
        <v>818</v>
      </c>
      <c r="H174" s="39"/>
      <c r="I174" s="39"/>
      <c r="J174" s="60"/>
      <c r="K174" s="60"/>
      <c r="L174" s="60"/>
      <c r="M174" s="60"/>
      <c r="N174" s="60"/>
      <c r="O174" s="60"/>
      <c r="P174" s="60"/>
      <c r="Q174" s="60"/>
      <c r="R174" s="60"/>
      <c r="S174" s="60"/>
      <c r="T174" s="60"/>
      <c r="U174" s="61" t="n">
        <v>751.79</v>
      </c>
      <c r="V174" s="62"/>
      <c r="W174" s="62"/>
      <c r="X174" s="62"/>
      <c r="Y174" s="62"/>
      <c r="Z174" s="62"/>
      <c r="AA174" s="60"/>
      <c r="XEN174" s="32"/>
      <c r="XEO174" s="32"/>
      <c r="XEP174" s="32"/>
      <c r="XEQ174" s="32"/>
      <c r="XER174" s="32"/>
      <c r="XES174" s="32"/>
      <c r="XET174" s="32"/>
      <c r="XEU174" s="32"/>
      <c r="XEV174" s="32"/>
      <c r="XEW174" s="32"/>
      <c r="XEX174" s="32"/>
      <c r="XEY174" s="32"/>
      <c r="XEZ174" s="32"/>
      <c r="XFA174" s="32"/>
      <c r="XFB174" s="32"/>
      <c r="XFC174" s="32"/>
      <c r="XFD174" s="32"/>
    </row>
    <row r="175" s="40" customFormat="true" ht="18.75" hidden="false" customHeight="true" outlineLevel="0" collapsed="false">
      <c r="A175" s="42" t="s">
        <v>819</v>
      </c>
      <c r="B175" s="37" t="s">
        <v>186</v>
      </c>
      <c r="C175" s="42"/>
      <c r="D175" s="38" t="s">
        <v>187</v>
      </c>
      <c r="E175" s="38" t="s">
        <v>820</v>
      </c>
      <c r="F175" s="38"/>
      <c r="G175" s="65" t="n">
        <v>24108</v>
      </c>
      <c r="H175" s="39"/>
      <c r="I175" s="39"/>
      <c r="J175" s="60"/>
      <c r="K175" s="60"/>
      <c r="L175" s="60"/>
      <c r="M175" s="60"/>
      <c r="N175" s="60"/>
      <c r="O175" s="60"/>
      <c r="P175" s="60"/>
      <c r="Q175" s="60"/>
      <c r="R175" s="60"/>
      <c r="S175" s="60"/>
      <c r="T175" s="60"/>
      <c r="U175" s="61" t="n">
        <v>751.79</v>
      </c>
      <c r="V175" s="62"/>
      <c r="W175" s="62"/>
      <c r="X175" s="62"/>
      <c r="Y175" s="62"/>
      <c r="Z175" s="62"/>
      <c r="AA175" s="60"/>
      <c r="XEN175" s="32"/>
      <c r="XEO175" s="32"/>
      <c r="XEP175" s="32"/>
      <c r="XEQ175" s="32"/>
      <c r="XER175" s="32"/>
      <c r="XES175" s="32"/>
      <c r="XET175" s="32"/>
      <c r="XEU175" s="32"/>
      <c r="XEV175" s="32"/>
      <c r="XEW175" s="32"/>
      <c r="XEX175" s="32"/>
      <c r="XEY175" s="32"/>
      <c r="XEZ175" s="32"/>
      <c r="XFA175" s="32"/>
      <c r="XFB175" s="32"/>
      <c r="XFC175" s="32"/>
      <c r="XFD175" s="32"/>
    </row>
    <row r="176" s="40" customFormat="true" ht="18.75" hidden="false" customHeight="true" outlineLevel="0" collapsed="false">
      <c r="A176" s="42" t="s">
        <v>821</v>
      </c>
      <c r="B176" s="37" t="n">
        <v>54350889000166</v>
      </c>
      <c r="C176" s="42"/>
      <c r="D176" s="38" t="s">
        <v>156</v>
      </c>
      <c r="E176" s="38" t="s">
        <v>822</v>
      </c>
      <c r="F176" s="39"/>
      <c r="G176" s="59" t="n">
        <v>28983</v>
      </c>
      <c r="H176" s="39"/>
      <c r="I176" s="39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2" t="n">
        <v>608.12</v>
      </c>
      <c r="V176" s="62"/>
      <c r="W176" s="62"/>
      <c r="X176" s="62"/>
      <c r="Y176" s="62"/>
      <c r="Z176" s="62"/>
      <c r="AA176" s="60"/>
      <c r="XEN176" s="32"/>
      <c r="XEO176" s="32"/>
      <c r="XEP176" s="32"/>
      <c r="XEQ176" s="32"/>
      <c r="XER176" s="32"/>
      <c r="XES176" s="32"/>
      <c r="XET176" s="32"/>
      <c r="XEU176" s="32"/>
      <c r="XEV176" s="32"/>
      <c r="XEW176" s="32"/>
      <c r="XEX176" s="32"/>
      <c r="XEY176" s="32"/>
      <c r="XEZ176" s="32"/>
      <c r="XFA176" s="32"/>
      <c r="XFB176" s="32"/>
      <c r="XFC176" s="32"/>
      <c r="XFD176" s="32"/>
    </row>
    <row r="177" s="40" customFormat="true" ht="18.75" hidden="false" customHeight="true" outlineLevel="0" collapsed="false">
      <c r="A177" s="42" t="s">
        <v>823</v>
      </c>
      <c r="B177" s="37" t="n">
        <v>54350889000166</v>
      </c>
      <c r="C177" s="42"/>
      <c r="D177" s="38" t="s">
        <v>156</v>
      </c>
      <c r="E177" s="38" t="s">
        <v>824</v>
      </c>
      <c r="F177" s="39"/>
      <c r="G177" s="59" t="n">
        <v>36173</v>
      </c>
      <c r="H177" s="39"/>
      <c r="I177" s="39"/>
      <c r="J177" s="60"/>
      <c r="K177" s="60"/>
      <c r="L177" s="60"/>
      <c r="M177" s="60"/>
      <c r="N177" s="60"/>
      <c r="O177" s="60"/>
      <c r="P177" s="60"/>
      <c r="Q177" s="60"/>
      <c r="R177" s="60"/>
      <c r="S177" s="60"/>
      <c r="T177" s="60"/>
      <c r="U177" s="62" t="n">
        <v>608.12</v>
      </c>
      <c r="V177" s="62"/>
      <c r="W177" s="62"/>
      <c r="X177" s="62"/>
      <c r="Y177" s="62"/>
      <c r="Z177" s="62"/>
      <c r="AA177" s="60"/>
      <c r="XEN177" s="32"/>
      <c r="XEO177" s="32"/>
      <c r="XEP177" s="32"/>
      <c r="XEQ177" s="32"/>
      <c r="XER177" s="32"/>
      <c r="XES177" s="32"/>
      <c r="XET177" s="32"/>
      <c r="XEU177" s="32"/>
      <c r="XEV177" s="32"/>
      <c r="XEW177" s="32"/>
      <c r="XEX177" s="32"/>
      <c r="XEY177" s="32"/>
      <c r="XEZ177" s="32"/>
      <c r="XFA177" s="32"/>
      <c r="XFB177" s="32"/>
      <c r="XFC177" s="32"/>
      <c r="XFD177" s="32"/>
    </row>
    <row r="178" s="40" customFormat="true" ht="18.75" hidden="false" customHeight="true" outlineLevel="0" collapsed="false">
      <c r="A178" s="42" t="s">
        <v>825</v>
      </c>
      <c r="B178" s="37" t="n">
        <v>54350889000166</v>
      </c>
      <c r="C178" s="42"/>
      <c r="D178" s="38" t="s">
        <v>156</v>
      </c>
      <c r="E178" s="38" t="s">
        <v>826</v>
      </c>
      <c r="F178" s="39"/>
      <c r="G178" s="59" t="n">
        <v>31906</v>
      </c>
      <c r="H178" s="39"/>
      <c r="I178" s="39"/>
      <c r="J178" s="60"/>
      <c r="K178" s="60"/>
      <c r="L178" s="60"/>
      <c r="M178" s="60"/>
      <c r="N178" s="60"/>
      <c r="O178" s="60"/>
      <c r="P178" s="60"/>
      <c r="Q178" s="60"/>
      <c r="R178" s="60"/>
      <c r="S178" s="60"/>
      <c r="T178" s="60"/>
      <c r="U178" s="62" t="n">
        <v>608.12</v>
      </c>
      <c r="V178" s="62"/>
      <c r="W178" s="62"/>
      <c r="X178" s="62"/>
      <c r="Y178" s="62"/>
      <c r="Z178" s="62"/>
      <c r="AA178" s="60"/>
      <c r="XEN178" s="32"/>
      <c r="XEO178" s="32"/>
      <c r="XEP178" s="32"/>
      <c r="XEQ178" s="32"/>
      <c r="XER178" s="32"/>
      <c r="XES178" s="32"/>
      <c r="XET178" s="32"/>
      <c r="XEU178" s="32"/>
      <c r="XEV178" s="32"/>
      <c r="XEW178" s="32"/>
      <c r="XEX178" s="32"/>
      <c r="XEY178" s="32"/>
      <c r="XEZ178" s="32"/>
      <c r="XFA178" s="32"/>
      <c r="XFB178" s="32"/>
      <c r="XFC178" s="32"/>
      <c r="XFD178" s="32"/>
    </row>
    <row r="179" s="40" customFormat="true" ht="18.75" hidden="false" customHeight="true" outlineLevel="0" collapsed="false">
      <c r="A179" s="42" t="s">
        <v>827</v>
      </c>
      <c r="B179" s="37" t="n">
        <v>54350889000166</v>
      </c>
      <c r="C179" s="42"/>
      <c r="D179" s="38" t="s">
        <v>156</v>
      </c>
      <c r="E179" s="38" t="s">
        <v>828</v>
      </c>
      <c r="F179" s="39"/>
      <c r="G179" s="59" t="n">
        <v>29483</v>
      </c>
      <c r="H179" s="39"/>
      <c r="I179" s="39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2" t="n">
        <v>608.12</v>
      </c>
      <c r="V179" s="62"/>
      <c r="W179" s="62"/>
      <c r="X179" s="62"/>
      <c r="Y179" s="62"/>
      <c r="Z179" s="62"/>
      <c r="AA179" s="60"/>
      <c r="XEN179" s="32"/>
      <c r="XEO179" s="32"/>
      <c r="XEP179" s="32"/>
      <c r="XEQ179" s="32"/>
      <c r="XER179" s="32"/>
      <c r="XES179" s="32"/>
      <c r="XET179" s="32"/>
      <c r="XEU179" s="32"/>
      <c r="XEV179" s="32"/>
      <c r="XEW179" s="32"/>
      <c r="XEX179" s="32"/>
      <c r="XEY179" s="32"/>
      <c r="XEZ179" s="32"/>
      <c r="XFA179" s="32"/>
      <c r="XFB179" s="32"/>
      <c r="XFC179" s="32"/>
      <c r="XFD179" s="32"/>
    </row>
    <row r="180" s="40" customFormat="true" ht="18.75" hidden="false" customHeight="true" outlineLevel="0" collapsed="false">
      <c r="A180" s="42" t="s">
        <v>829</v>
      </c>
      <c r="B180" s="37" t="n">
        <v>54350889000166</v>
      </c>
      <c r="C180" s="42"/>
      <c r="D180" s="38" t="s">
        <v>156</v>
      </c>
      <c r="E180" s="38" t="s">
        <v>830</v>
      </c>
      <c r="F180" s="39"/>
      <c r="G180" s="59" t="n">
        <v>24051</v>
      </c>
      <c r="H180" s="39"/>
      <c r="I180" s="39"/>
      <c r="J180" s="60"/>
      <c r="K180" s="60"/>
      <c r="L180" s="60"/>
      <c r="M180" s="60"/>
      <c r="N180" s="60"/>
      <c r="O180" s="60"/>
      <c r="P180" s="60"/>
      <c r="Q180" s="60"/>
      <c r="R180" s="60"/>
      <c r="S180" s="60"/>
      <c r="T180" s="60"/>
      <c r="U180" s="62" t="n">
        <v>608.12</v>
      </c>
      <c r="V180" s="62"/>
      <c r="W180" s="62"/>
      <c r="X180" s="62"/>
      <c r="Y180" s="62"/>
      <c r="Z180" s="62"/>
      <c r="AA180" s="60"/>
      <c r="XEN180" s="32"/>
      <c r="XEO180" s="32"/>
      <c r="XEP180" s="32"/>
      <c r="XEQ180" s="32"/>
      <c r="XER180" s="32"/>
      <c r="XES180" s="32"/>
      <c r="XET180" s="32"/>
      <c r="XEU180" s="32"/>
      <c r="XEV180" s="32"/>
      <c r="XEW180" s="32"/>
      <c r="XEX180" s="32"/>
      <c r="XEY180" s="32"/>
      <c r="XEZ180" s="32"/>
      <c r="XFA180" s="32"/>
      <c r="XFB180" s="32"/>
      <c r="XFC180" s="32"/>
      <c r="XFD180" s="32"/>
    </row>
    <row r="181" s="40" customFormat="true" ht="18.75" hidden="false" customHeight="true" outlineLevel="0" collapsed="false">
      <c r="A181" s="42" t="s">
        <v>831</v>
      </c>
      <c r="B181" s="39" t="s">
        <v>294</v>
      </c>
      <c r="C181" s="42"/>
      <c r="D181" s="38" t="s">
        <v>295</v>
      </c>
      <c r="E181" s="38" t="s">
        <v>832</v>
      </c>
      <c r="F181" s="38"/>
      <c r="G181" s="59" t="s">
        <v>833</v>
      </c>
      <c r="H181" s="39"/>
      <c r="I181" s="39"/>
      <c r="J181" s="60"/>
      <c r="K181" s="60"/>
      <c r="L181" s="60"/>
      <c r="M181" s="60"/>
      <c r="N181" s="60"/>
      <c r="O181" s="60"/>
      <c r="P181" s="60"/>
      <c r="Q181" s="60"/>
      <c r="R181" s="60"/>
      <c r="S181" s="60"/>
      <c r="T181" s="60"/>
      <c r="U181" s="61" t="n">
        <v>608.12</v>
      </c>
      <c r="V181" s="62"/>
      <c r="W181" s="62"/>
      <c r="X181" s="62"/>
      <c r="Y181" s="62"/>
      <c r="Z181" s="62"/>
      <c r="AA181" s="60"/>
      <c r="XEN181" s="32"/>
      <c r="XEO181" s="32"/>
      <c r="XEP181" s="32"/>
      <c r="XEQ181" s="32"/>
      <c r="XER181" s="32"/>
      <c r="XES181" s="32"/>
      <c r="XET181" s="32"/>
      <c r="XEU181" s="32"/>
      <c r="XEV181" s="32"/>
      <c r="XEW181" s="32"/>
      <c r="XEX181" s="32"/>
      <c r="XEY181" s="32"/>
      <c r="XEZ181" s="32"/>
      <c r="XFA181" s="32"/>
      <c r="XFB181" s="32"/>
      <c r="XFC181" s="32"/>
      <c r="XFD181" s="32"/>
    </row>
    <row r="182" s="40" customFormat="true" ht="18.75" hidden="false" customHeight="true" outlineLevel="0" collapsed="false">
      <c r="A182" s="42" t="s">
        <v>834</v>
      </c>
      <c r="B182" s="39" t="s">
        <v>294</v>
      </c>
      <c r="C182" s="42"/>
      <c r="D182" s="38" t="s">
        <v>295</v>
      </c>
      <c r="E182" s="38" t="s">
        <v>835</v>
      </c>
      <c r="F182" s="38"/>
      <c r="G182" s="59" t="s">
        <v>836</v>
      </c>
      <c r="H182" s="39"/>
      <c r="I182" s="39"/>
      <c r="J182" s="60"/>
      <c r="K182" s="60"/>
      <c r="L182" s="60"/>
      <c r="M182" s="60"/>
      <c r="N182" s="60"/>
      <c r="O182" s="60"/>
      <c r="P182" s="60"/>
      <c r="Q182" s="60"/>
      <c r="R182" s="60"/>
      <c r="S182" s="60"/>
      <c r="T182" s="60"/>
      <c r="U182" s="61" t="n">
        <v>608.12</v>
      </c>
      <c r="V182" s="62"/>
      <c r="W182" s="62"/>
      <c r="X182" s="62"/>
      <c r="Y182" s="62"/>
      <c r="Z182" s="62"/>
      <c r="AA182" s="60"/>
      <c r="XEN182" s="32"/>
      <c r="XEO182" s="32"/>
      <c r="XEP182" s="32"/>
      <c r="XEQ182" s="32"/>
      <c r="XER182" s="32"/>
      <c r="XES182" s="32"/>
      <c r="XET182" s="32"/>
      <c r="XEU182" s="32"/>
      <c r="XEV182" s="32"/>
      <c r="XEW182" s="32"/>
      <c r="XEX182" s="32"/>
      <c r="XEY182" s="32"/>
      <c r="XEZ182" s="32"/>
      <c r="XFA182" s="32"/>
      <c r="XFB182" s="32"/>
      <c r="XFC182" s="32"/>
      <c r="XFD182" s="32"/>
    </row>
    <row r="183" s="40" customFormat="true" ht="18.75" hidden="false" customHeight="true" outlineLevel="0" collapsed="false">
      <c r="A183" s="42" t="s">
        <v>837</v>
      </c>
      <c r="B183" s="39" t="s">
        <v>294</v>
      </c>
      <c r="C183" s="42"/>
      <c r="D183" s="38" t="s">
        <v>295</v>
      </c>
      <c r="E183" s="38" t="s">
        <v>838</v>
      </c>
      <c r="F183" s="38"/>
      <c r="G183" s="59" t="s">
        <v>839</v>
      </c>
      <c r="H183" s="39"/>
      <c r="I183" s="39"/>
      <c r="J183" s="60"/>
      <c r="K183" s="60"/>
      <c r="L183" s="60"/>
      <c r="M183" s="60"/>
      <c r="N183" s="60"/>
      <c r="O183" s="60"/>
      <c r="P183" s="60"/>
      <c r="Q183" s="60"/>
      <c r="R183" s="60"/>
      <c r="S183" s="60"/>
      <c r="T183" s="60"/>
      <c r="U183" s="61" t="n">
        <v>608.12</v>
      </c>
      <c r="V183" s="62"/>
      <c r="W183" s="62"/>
      <c r="X183" s="62"/>
      <c r="Y183" s="62"/>
      <c r="Z183" s="62"/>
      <c r="AA183" s="60"/>
      <c r="XEN183" s="32"/>
      <c r="XEO183" s="32"/>
      <c r="XEP183" s="32"/>
      <c r="XEQ183" s="32"/>
      <c r="XER183" s="32"/>
      <c r="XES183" s="32"/>
      <c r="XET183" s="32"/>
      <c r="XEU183" s="32"/>
      <c r="XEV183" s="32"/>
      <c r="XEW183" s="32"/>
      <c r="XEX183" s="32"/>
      <c r="XEY183" s="32"/>
      <c r="XEZ183" s="32"/>
      <c r="XFA183" s="32"/>
      <c r="XFB183" s="32"/>
      <c r="XFC183" s="32"/>
      <c r="XFD183" s="32"/>
    </row>
    <row r="184" s="40" customFormat="true" ht="18.75" hidden="false" customHeight="true" outlineLevel="0" collapsed="false">
      <c r="A184" s="42" t="s">
        <v>840</v>
      </c>
      <c r="B184" s="39" t="s">
        <v>294</v>
      </c>
      <c r="C184" s="42"/>
      <c r="D184" s="38" t="s">
        <v>295</v>
      </c>
      <c r="E184" s="38" t="s">
        <v>841</v>
      </c>
      <c r="F184" s="38"/>
      <c r="G184" s="59" t="s">
        <v>842</v>
      </c>
      <c r="H184" s="39"/>
      <c r="I184" s="39"/>
      <c r="J184" s="60"/>
      <c r="K184" s="60"/>
      <c r="L184" s="60"/>
      <c r="M184" s="60"/>
      <c r="N184" s="60"/>
      <c r="O184" s="60"/>
      <c r="P184" s="60"/>
      <c r="Q184" s="60"/>
      <c r="R184" s="60"/>
      <c r="S184" s="60"/>
      <c r="T184" s="60"/>
      <c r="U184" s="61" t="n">
        <v>608.12</v>
      </c>
      <c r="V184" s="62"/>
      <c r="W184" s="62"/>
      <c r="X184" s="62"/>
      <c r="Y184" s="62"/>
      <c r="Z184" s="62"/>
      <c r="AA184" s="60"/>
      <c r="XEN184" s="32"/>
      <c r="XEO184" s="32"/>
      <c r="XEP184" s="32"/>
      <c r="XEQ184" s="32"/>
      <c r="XER184" s="32"/>
      <c r="XES184" s="32"/>
      <c r="XET184" s="32"/>
      <c r="XEU184" s="32"/>
      <c r="XEV184" s="32"/>
      <c r="XEW184" s="32"/>
      <c r="XEX184" s="32"/>
      <c r="XEY184" s="32"/>
      <c r="XEZ184" s="32"/>
      <c r="XFA184" s="32"/>
      <c r="XFB184" s="32"/>
      <c r="XFC184" s="32"/>
      <c r="XFD184" s="32"/>
    </row>
    <row r="185" s="40" customFormat="true" ht="18.75" hidden="false" customHeight="true" outlineLevel="0" collapsed="false">
      <c r="A185" s="42" t="s">
        <v>843</v>
      </c>
      <c r="B185" s="39" t="s">
        <v>242</v>
      </c>
      <c r="C185" s="42"/>
      <c r="D185" s="38" t="s">
        <v>243</v>
      </c>
      <c r="E185" s="38" t="s">
        <v>844</v>
      </c>
      <c r="F185" s="38"/>
      <c r="G185" s="59" t="n">
        <v>29556</v>
      </c>
      <c r="H185" s="39"/>
      <c r="I185" s="39"/>
      <c r="J185" s="60"/>
      <c r="K185" s="60"/>
      <c r="L185" s="60"/>
      <c r="M185" s="60"/>
      <c r="N185" s="60"/>
      <c r="O185" s="60"/>
      <c r="P185" s="60"/>
      <c r="Q185" s="60"/>
      <c r="R185" s="60"/>
      <c r="S185" s="60"/>
      <c r="T185" s="60"/>
      <c r="U185" s="61" t="n">
        <v>608.12</v>
      </c>
      <c r="V185" s="62"/>
      <c r="W185" s="62"/>
      <c r="X185" s="62"/>
      <c r="Y185" s="62"/>
      <c r="Z185" s="62"/>
      <c r="AA185" s="60"/>
      <c r="XEN185" s="32"/>
      <c r="XEO185" s="32"/>
      <c r="XEP185" s="32"/>
      <c r="XEQ185" s="32"/>
      <c r="XER185" s="32"/>
      <c r="XES185" s="32"/>
      <c r="XET185" s="32"/>
      <c r="XEU185" s="32"/>
      <c r="XEV185" s="32"/>
      <c r="XEW185" s="32"/>
      <c r="XEX185" s="32"/>
      <c r="XEY185" s="32"/>
      <c r="XEZ185" s="32"/>
      <c r="XFA185" s="32"/>
      <c r="XFB185" s="32"/>
      <c r="XFC185" s="32"/>
      <c r="XFD185" s="32"/>
    </row>
    <row r="186" s="40" customFormat="true" ht="18.75" hidden="false" customHeight="true" outlineLevel="0" collapsed="false">
      <c r="A186" s="42" t="s">
        <v>845</v>
      </c>
      <c r="B186" s="39" t="s">
        <v>242</v>
      </c>
      <c r="C186" s="42"/>
      <c r="D186" s="38" t="s">
        <v>243</v>
      </c>
      <c r="E186" s="38" t="s">
        <v>846</v>
      </c>
      <c r="F186" s="38"/>
      <c r="G186" s="59" t="n">
        <v>24933</v>
      </c>
      <c r="H186" s="39"/>
      <c r="I186" s="39"/>
      <c r="J186" s="60"/>
      <c r="K186" s="60"/>
      <c r="L186" s="60"/>
      <c r="M186" s="60"/>
      <c r="N186" s="60"/>
      <c r="O186" s="60"/>
      <c r="P186" s="60"/>
      <c r="Q186" s="60"/>
      <c r="R186" s="60"/>
      <c r="S186" s="60"/>
      <c r="T186" s="60"/>
      <c r="U186" s="61" t="n">
        <v>608.12</v>
      </c>
      <c r="V186" s="62"/>
      <c r="W186" s="62"/>
      <c r="X186" s="62"/>
      <c r="Y186" s="62"/>
      <c r="Z186" s="62"/>
      <c r="AA186" s="60"/>
      <c r="XEN186" s="32"/>
      <c r="XEO186" s="32"/>
      <c r="XEP186" s="32"/>
      <c r="XEQ186" s="32"/>
      <c r="XER186" s="32"/>
      <c r="XES186" s="32"/>
      <c r="XET186" s="32"/>
      <c r="XEU186" s="32"/>
      <c r="XEV186" s="32"/>
      <c r="XEW186" s="32"/>
      <c r="XEX186" s="32"/>
      <c r="XEY186" s="32"/>
      <c r="XEZ186" s="32"/>
      <c r="XFA186" s="32"/>
      <c r="XFB186" s="32"/>
      <c r="XFC186" s="32"/>
      <c r="XFD186" s="32"/>
    </row>
    <row r="187" s="40" customFormat="true" ht="18.75" hidden="false" customHeight="true" outlineLevel="0" collapsed="false">
      <c r="A187" s="42" t="s">
        <v>847</v>
      </c>
      <c r="B187" s="39" t="s">
        <v>242</v>
      </c>
      <c r="C187" s="42"/>
      <c r="D187" s="38" t="s">
        <v>243</v>
      </c>
      <c r="E187" s="38" t="s">
        <v>848</v>
      </c>
      <c r="F187" s="38"/>
      <c r="G187" s="59" t="s">
        <v>849</v>
      </c>
      <c r="H187" s="39"/>
      <c r="I187" s="39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1" t="n">
        <v>608.12</v>
      </c>
      <c r="V187" s="62"/>
      <c r="W187" s="62"/>
      <c r="X187" s="62"/>
      <c r="Y187" s="62"/>
      <c r="Z187" s="62"/>
      <c r="AA187" s="60"/>
      <c r="XEN187" s="32"/>
      <c r="XEO187" s="32"/>
      <c r="XEP187" s="32"/>
      <c r="XEQ187" s="32"/>
      <c r="XER187" s="32"/>
      <c r="XES187" s="32"/>
      <c r="XET187" s="32"/>
      <c r="XEU187" s="32"/>
      <c r="XEV187" s="32"/>
      <c r="XEW187" s="32"/>
      <c r="XEX187" s="32"/>
      <c r="XEY187" s="32"/>
      <c r="XEZ187" s="32"/>
      <c r="XFA187" s="32"/>
      <c r="XFB187" s="32"/>
      <c r="XFC187" s="32"/>
      <c r="XFD187" s="32"/>
    </row>
    <row r="188" s="40" customFormat="true" ht="18.75" hidden="false" customHeight="true" outlineLevel="0" collapsed="false">
      <c r="A188" s="42" t="s">
        <v>850</v>
      </c>
      <c r="B188" s="39" t="s">
        <v>242</v>
      </c>
      <c r="C188" s="42"/>
      <c r="D188" s="38" t="s">
        <v>243</v>
      </c>
      <c r="E188" s="38" t="s">
        <v>851</v>
      </c>
      <c r="F188" s="38"/>
      <c r="G188" s="59" t="n">
        <v>27189</v>
      </c>
      <c r="H188" s="39"/>
      <c r="I188" s="39"/>
      <c r="J188" s="60"/>
      <c r="K188" s="60"/>
      <c r="L188" s="60"/>
      <c r="M188" s="60"/>
      <c r="N188" s="60"/>
      <c r="O188" s="60"/>
      <c r="P188" s="60"/>
      <c r="Q188" s="60"/>
      <c r="R188" s="60"/>
      <c r="S188" s="60"/>
      <c r="T188" s="60"/>
      <c r="U188" s="61" t="n">
        <v>608.12</v>
      </c>
      <c r="V188" s="62"/>
      <c r="W188" s="62"/>
      <c r="X188" s="62"/>
      <c r="Y188" s="62"/>
      <c r="Z188" s="62"/>
      <c r="AA188" s="60"/>
      <c r="XEN188" s="32"/>
      <c r="XEO188" s="32"/>
      <c r="XEP188" s="32"/>
      <c r="XEQ188" s="32"/>
      <c r="XER188" s="32"/>
      <c r="XES188" s="32"/>
      <c r="XET188" s="32"/>
      <c r="XEU188" s="32"/>
      <c r="XEV188" s="32"/>
      <c r="XEW188" s="32"/>
      <c r="XEX188" s="32"/>
      <c r="XEY188" s="32"/>
      <c r="XEZ188" s="32"/>
      <c r="XFA188" s="32"/>
      <c r="XFB188" s="32"/>
      <c r="XFC188" s="32"/>
      <c r="XFD188" s="32"/>
    </row>
    <row r="189" s="40" customFormat="true" ht="18.75" hidden="false" customHeight="true" outlineLevel="0" collapsed="false">
      <c r="A189" s="42" t="s">
        <v>852</v>
      </c>
      <c r="B189" s="39" t="s">
        <v>256</v>
      </c>
      <c r="C189" s="38"/>
      <c r="D189" s="38" t="s">
        <v>257</v>
      </c>
      <c r="E189" s="38" t="s">
        <v>853</v>
      </c>
      <c r="F189" s="38"/>
      <c r="G189" s="59" t="n">
        <v>36445</v>
      </c>
      <c r="H189" s="39"/>
      <c r="I189" s="39"/>
      <c r="J189" s="60"/>
      <c r="K189" s="60"/>
      <c r="L189" s="60"/>
      <c r="M189" s="60"/>
      <c r="N189" s="60"/>
      <c r="O189" s="60"/>
      <c r="P189" s="60"/>
      <c r="Q189" s="60"/>
      <c r="R189" s="60"/>
      <c r="S189" s="60"/>
      <c r="T189" s="60"/>
      <c r="U189" s="61" t="n">
        <v>608.12</v>
      </c>
      <c r="V189" s="62"/>
      <c r="W189" s="62"/>
      <c r="X189" s="62"/>
      <c r="Y189" s="62"/>
      <c r="Z189" s="62"/>
      <c r="AA189" s="60"/>
      <c r="XEN189" s="32"/>
      <c r="XEO189" s="32"/>
      <c r="XEP189" s="32"/>
      <c r="XEQ189" s="32"/>
      <c r="XER189" s="32"/>
      <c r="XES189" s="32"/>
      <c r="XET189" s="32"/>
      <c r="XEU189" s="32"/>
      <c r="XEV189" s="32"/>
      <c r="XEW189" s="32"/>
      <c r="XEX189" s="32"/>
      <c r="XEY189" s="32"/>
      <c r="XEZ189" s="32"/>
      <c r="XFA189" s="32"/>
      <c r="XFB189" s="32"/>
      <c r="XFC189" s="32"/>
      <c r="XFD189" s="32"/>
    </row>
    <row r="190" s="40" customFormat="true" ht="18.75" hidden="false" customHeight="true" outlineLevel="0" collapsed="false">
      <c r="A190" s="42" t="s">
        <v>854</v>
      </c>
      <c r="B190" s="39" t="s">
        <v>256</v>
      </c>
      <c r="C190" s="42"/>
      <c r="D190" s="38" t="s">
        <v>257</v>
      </c>
      <c r="E190" s="38" t="s">
        <v>855</v>
      </c>
      <c r="F190" s="38"/>
      <c r="G190" s="59" t="s">
        <v>856</v>
      </c>
      <c r="H190" s="39"/>
      <c r="I190" s="39"/>
      <c r="J190" s="60"/>
      <c r="K190" s="60"/>
      <c r="L190" s="60"/>
      <c r="M190" s="60"/>
      <c r="N190" s="60"/>
      <c r="O190" s="60"/>
      <c r="P190" s="60"/>
      <c r="Q190" s="60"/>
      <c r="R190" s="60"/>
      <c r="S190" s="60"/>
      <c r="T190" s="60"/>
      <c r="U190" s="61" t="n">
        <v>608.12</v>
      </c>
      <c r="V190" s="62"/>
      <c r="W190" s="62"/>
      <c r="X190" s="62"/>
      <c r="Y190" s="62"/>
      <c r="Z190" s="62"/>
      <c r="AA190" s="60"/>
      <c r="XEN190" s="32"/>
      <c r="XEO190" s="32"/>
      <c r="XEP190" s="32"/>
      <c r="XEQ190" s="32"/>
      <c r="XER190" s="32"/>
      <c r="XES190" s="32"/>
      <c r="XET190" s="32"/>
      <c r="XEU190" s="32"/>
      <c r="XEV190" s="32"/>
      <c r="XEW190" s="32"/>
      <c r="XEX190" s="32"/>
      <c r="XEY190" s="32"/>
      <c r="XEZ190" s="32"/>
      <c r="XFA190" s="32"/>
      <c r="XFB190" s="32"/>
      <c r="XFC190" s="32"/>
      <c r="XFD190" s="32"/>
    </row>
    <row r="191" s="40" customFormat="true" ht="18.75" hidden="false" customHeight="true" outlineLevel="0" collapsed="false">
      <c r="A191" s="42" t="s">
        <v>857</v>
      </c>
      <c r="B191" s="39" t="s">
        <v>256</v>
      </c>
      <c r="C191" s="42"/>
      <c r="D191" s="38" t="s">
        <v>257</v>
      </c>
      <c r="E191" s="38" t="s">
        <v>858</v>
      </c>
      <c r="F191" s="38"/>
      <c r="G191" s="59" t="n">
        <v>28917</v>
      </c>
      <c r="H191" s="39"/>
      <c r="I191" s="39"/>
      <c r="J191" s="60"/>
      <c r="K191" s="60"/>
      <c r="L191" s="60"/>
      <c r="M191" s="60"/>
      <c r="N191" s="60"/>
      <c r="O191" s="60"/>
      <c r="P191" s="60"/>
      <c r="Q191" s="60"/>
      <c r="R191" s="60"/>
      <c r="S191" s="60"/>
      <c r="T191" s="60"/>
      <c r="U191" s="61" t="n">
        <v>608.12</v>
      </c>
      <c r="V191" s="62"/>
      <c r="W191" s="62"/>
      <c r="X191" s="62"/>
      <c r="Y191" s="62"/>
      <c r="Z191" s="62"/>
      <c r="AA191" s="60"/>
      <c r="XEN191" s="32"/>
      <c r="XEO191" s="32"/>
      <c r="XEP191" s="32"/>
      <c r="XEQ191" s="32"/>
      <c r="XER191" s="32"/>
      <c r="XES191" s="32"/>
      <c r="XET191" s="32"/>
      <c r="XEU191" s="32"/>
      <c r="XEV191" s="32"/>
      <c r="XEW191" s="32"/>
      <c r="XEX191" s="32"/>
      <c r="XEY191" s="32"/>
      <c r="XEZ191" s="32"/>
      <c r="XFA191" s="32"/>
      <c r="XFB191" s="32"/>
      <c r="XFC191" s="32"/>
      <c r="XFD191" s="32"/>
    </row>
    <row r="192" s="40" customFormat="true" ht="18.75" hidden="false" customHeight="true" outlineLevel="0" collapsed="false">
      <c r="A192" s="42" t="s">
        <v>859</v>
      </c>
      <c r="B192" s="39" t="s">
        <v>256</v>
      </c>
      <c r="C192" s="42"/>
      <c r="D192" s="38" t="s">
        <v>257</v>
      </c>
      <c r="E192" s="38" t="s">
        <v>860</v>
      </c>
      <c r="F192" s="38"/>
      <c r="G192" s="59" t="s">
        <v>861</v>
      </c>
      <c r="H192" s="39"/>
      <c r="I192" s="39"/>
      <c r="J192" s="60"/>
      <c r="K192" s="60"/>
      <c r="L192" s="60"/>
      <c r="M192" s="60"/>
      <c r="N192" s="60"/>
      <c r="O192" s="60"/>
      <c r="P192" s="60"/>
      <c r="Q192" s="60"/>
      <c r="R192" s="60"/>
      <c r="S192" s="60"/>
      <c r="T192" s="60"/>
      <c r="U192" s="61" t="n">
        <v>608.12</v>
      </c>
      <c r="V192" s="62"/>
      <c r="W192" s="62"/>
      <c r="X192" s="62"/>
      <c r="Y192" s="62"/>
      <c r="Z192" s="62"/>
      <c r="AA192" s="60"/>
      <c r="XEN192" s="32"/>
      <c r="XEO192" s="32"/>
      <c r="XEP192" s="32"/>
      <c r="XEQ192" s="32"/>
      <c r="XER192" s="32"/>
      <c r="XES192" s="32"/>
      <c r="XET192" s="32"/>
      <c r="XEU192" s="32"/>
      <c r="XEV192" s="32"/>
      <c r="XEW192" s="32"/>
      <c r="XEX192" s="32"/>
      <c r="XEY192" s="32"/>
      <c r="XEZ192" s="32"/>
      <c r="XFA192" s="32"/>
      <c r="XFB192" s="32"/>
      <c r="XFC192" s="32"/>
      <c r="XFD192" s="32"/>
    </row>
    <row r="193" s="40" customFormat="true" ht="18.75" hidden="false" customHeight="true" outlineLevel="0" collapsed="false">
      <c r="A193" s="42" t="s">
        <v>862</v>
      </c>
      <c r="B193" s="39" t="s">
        <v>256</v>
      </c>
      <c r="C193" s="42"/>
      <c r="D193" s="38" t="s">
        <v>257</v>
      </c>
      <c r="E193" s="38" t="s">
        <v>863</v>
      </c>
      <c r="F193" s="38"/>
      <c r="G193" s="65" t="s">
        <v>864</v>
      </c>
      <c r="H193" s="39"/>
      <c r="I193" s="39"/>
      <c r="J193" s="60"/>
      <c r="K193" s="60"/>
      <c r="L193" s="60"/>
      <c r="M193" s="60"/>
      <c r="N193" s="60"/>
      <c r="O193" s="60"/>
      <c r="P193" s="60"/>
      <c r="Q193" s="60"/>
      <c r="R193" s="60"/>
      <c r="S193" s="60"/>
      <c r="T193" s="60"/>
      <c r="U193" s="61" t="n">
        <v>608.12</v>
      </c>
      <c r="V193" s="62"/>
      <c r="W193" s="62"/>
      <c r="X193" s="62"/>
      <c r="Y193" s="62"/>
      <c r="Z193" s="62"/>
      <c r="AA193" s="60"/>
      <c r="XEN193" s="32"/>
      <c r="XEO193" s="32"/>
      <c r="XEP193" s="32"/>
      <c r="XEQ193" s="32"/>
      <c r="XER193" s="32"/>
      <c r="XES193" s="32"/>
      <c r="XET193" s="32"/>
      <c r="XEU193" s="32"/>
      <c r="XEV193" s="32"/>
      <c r="XEW193" s="32"/>
      <c r="XEX193" s="32"/>
      <c r="XEY193" s="32"/>
      <c r="XEZ193" s="32"/>
      <c r="XFA193" s="32"/>
      <c r="XFB193" s="32"/>
      <c r="XFC193" s="32"/>
      <c r="XFD193" s="32"/>
    </row>
    <row r="194" s="40" customFormat="true" ht="18.75" hidden="false" customHeight="true" outlineLevel="0" collapsed="false">
      <c r="A194" s="42" t="s">
        <v>865</v>
      </c>
      <c r="B194" s="37" t="n">
        <v>62302716000109</v>
      </c>
      <c r="C194" s="42"/>
      <c r="D194" s="38" t="s">
        <v>157</v>
      </c>
      <c r="E194" s="38" t="s">
        <v>866</v>
      </c>
      <c r="F194" s="38"/>
      <c r="G194" s="59" t="n">
        <v>25880</v>
      </c>
      <c r="H194" s="39"/>
      <c r="I194" s="39"/>
      <c r="J194" s="60"/>
      <c r="K194" s="60"/>
      <c r="L194" s="60"/>
      <c r="M194" s="60"/>
      <c r="N194" s="60"/>
      <c r="O194" s="60"/>
      <c r="P194" s="60"/>
      <c r="Q194" s="60"/>
      <c r="R194" s="60"/>
      <c r="S194" s="60"/>
      <c r="T194" s="60"/>
      <c r="U194" s="61" t="n">
        <v>608.12</v>
      </c>
      <c r="V194" s="62"/>
      <c r="W194" s="62"/>
      <c r="X194" s="62"/>
      <c r="Y194" s="62"/>
      <c r="Z194" s="62"/>
      <c r="AA194" s="60"/>
      <c r="XEN194" s="32"/>
      <c r="XEO194" s="32"/>
      <c r="XEP194" s="32"/>
      <c r="XEQ194" s="32"/>
      <c r="XER194" s="32"/>
      <c r="XES194" s="32"/>
      <c r="XET194" s="32"/>
      <c r="XEU194" s="32"/>
      <c r="XEV194" s="32"/>
      <c r="XEW194" s="32"/>
      <c r="XEX194" s="32"/>
      <c r="XEY194" s="32"/>
      <c r="XEZ194" s="32"/>
      <c r="XFA194" s="32"/>
      <c r="XFB194" s="32"/>
      <c r="XFC194" s="32"/>
      <c r="XFD194" s="32"/>
    </row>
    <row r="195" s="40" customFormat="true" ht="18.75" hidden="false" customHeight="true" outlineLevel="0" collapsed="false">
      <c r="A195" s="39" t="s">
        <v>867</v>
      </c>
      <c r="B195" s="39" t="s">
        <v>338</v>
      </c>
      <c r="C195" s="39"/>
      <c r="D195" s="39" t="s">
        <v>339</v>
      </c>
      <c r="E195" s="39" t="s">
        <v>868</v>
      </c>
      <c r="F195" s="39"/>
      <c r="G195" s="65" t="s">
        <v>869</v>
      </c>
      <c r="H195" s="39"/>
      <c r="I195" s="39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2" t="n">
        <v>608.12</v>
      </c>
      <c r="V195" s="62"/>
      <c r="W195" s="62"/>
      <c r="X195" s="62"/>
      <c r="Y195" s="62"/>
      <c r="Z195" s="62"/>
      <c r="AA195" s="60"/>
      <c r="XEN195" s="32"/>
      <c r="XEO195" s="32"/>
      <c r="XEP195" s="32"/>
      <c r="XEQ195" s="32"/>
      <c r="XER195" s="32"/>
      <c r="XES195" s="32"/>
      <c r="XET195" s="32"/>
      <c r="XEU195" s="32"/>
      <c r="XEV195" s="32"/>
      <c r="XEW195" s="32"/>
      <c r="XEX195" s="32"/>
      <c r="XEY195" s="32"/>
      <c r="XEZ195" s="32"/>
      <c r="XFA195" s="32"/>
      <c r="XFB195" s="32"/>
      <c r="XFC195" s="32"/>
      <c r="XFD195" s="32"/>
    </row>
    <row r="196" s="40" customFormat="true" ht="18.75" hidden="false" customHeight="true" outlineLevel="0" collapsed="false">
      <c r="A196" s="42" t="s">
        <v>870</v>
      </c>
      <c r="B196" s="37" t="s">
        <v>206</v>
      </c>
      <c r="C196" s="42"/>
      <c r="D196" s="38" t="s">
        <v>207</v>
      </c>
      <c r="E196" s="38" t="s">
        <v>871</v>
      </c>
      <c r="F196" s="38"/>
      <c r="G196" s="59" t="n">
        <v>23444</v>
      </c>
      <c r="H196" s="39"/>
      <c r="I196" s="39"/>
      <c r="J196" s="60"/>
      <c r="K196" s="60"/>
      <c r="L196" s="60"/>
      <c r="M196" s="60"/>
      <c r="N196" s="60"/>
      <c r="O196" s="60"/>
      <c r="P196" s="60"/>
      <c r="Q196" s="60"/>
      <c r="R196" s="60"/>
      <c r="S196" s="60"/>
      <c r="T196" s="60"/>
      <c r="U196" s="61" t="n">
        <v>608.12</v>
      </c>
      <c r="V196" s="62"/>
      <c r="W196" s="62"/>
      <c r="X196" s="62"/>
      <c r="Y196" s="62"/>
      <c r="Z196" s="62"/>
      <c r="AA196" s="60"/>
      <c r="XEN196" s="32"/>
      <c r="XEO196" s="32"/>
      <c r="XEP196" s="32"/>
      <c r="XEQ196" s="32"/>
      <c r="XER196" s="32"/>
      <c r="XES196" s="32"/>
      <c r="XET196" s="32"/>
      <c r="XEU196" s="32"/>
      <c r="XEV196" s="32"/>
      <c r="XEW196" s="32"/>
      <c r="XEX196" s="32"/>
      <c r="XEY196" s="32"/>
      <c r="XEZ196" s="32"/>
      <c r="XFA196" s="32"/>
      <c r="XFB196" s="32"/>
      <c r="XFC196" s="32"/>
      <c r="XFD196" s="32"/>
    </row>
    <row r="197" s="40" customFormat="true" ht="18.75" hidden="false" customHeight="true" outlineLevel="0" collapsed="false">
      <c r="A197" s="42" t="s">
        <v>872</v>
      </c>
      <c r="B197" s="37" t="s">
        <v>206</v>
      </c>
      <c r="C197" s="38"/>
      <c r="D197" s="38" t="s">
        <v>207</v>
      </c>
      <c r="E197" s="38" t="s">
        <v>873</v>
      </c>
      <c r="F197" s="38"/>
      <c r="G197" s="59" t="n">
        <v>24402</v>
      </c>
      <c r="H197" s="39"/>
      <c r="I197" s="39"/>
      <c r="J197" s="60"/>
      <c r="K197" s="60"/>
      <c r="L197" s="60"/>
      <c r="M197" s="60"/>
      <c r="N197" s="60"/>
      <c r="O197" s="60"/>
      <c r="P197" s="60"/>
      <c r="Q197" s="60"/>
      <c r="R197" s="60"/>
      <c r="S197" s="60"/>
      <c r="T197" s="60"/>
      <c r="U197" s="61" t="n">
        <v>608.12</v>
      </c>
      <c r="V197" s="62"/>
      <c r="W197" s="62"/>
      <c r="X197" s="62"/>
      <c r="Y197" s="62"/>
      <c r="Z197" s="62"/>
      <c r="AA197" s="60"/>
      <c r="XEN197" s="32"/>
      <c r="XEO197" s="32"/>
      <c r="XEP197" s="32"/>
      <c r="XEQ197" s="32"/>
      <c r="XER197" s="32"/>
      <c r="XES197" s="32"/>
      <c r="XET197" s="32"/>
      <c r="XEU197" s="32"/>
      <c r="XEV197" s="32"/>
      <c r="XEW197" s="32"/>
      <c r="XEX197" s="32"/>
      <c r="XEY197" s="32"/>
      <c r="XEZ197" s="32"/>
      <c r="XFA197" s="32"/>
      <c r="XFB197" s="32"/>
      <c r="XFC197" s="32"/>
      <c r="XFD197" s="32"/>
    </row>
    <row r="198" s="40" customFormat="true" ht="18.75" hidden="false" customHeight="true" outlineLevel="0" collapsed="false">
      <c r="A198" s="42" t="s">
        <v>874</v>
      </c>
      <c r="B198" s="39" t="s">
        <v>258</v>
      </c>
      <c r="C198" s="38"/>
      <c r="D198" s="38" t="s">
        <v>259</v>
      </c>
      <c r="E198" s="38" t="s">
        <v>875</v>
      </c>
      <c r="F198" s="38"/>
      <c r="G198" s="59" t="s">
        <v>876</v>
      </c>
      <c r="H198" s="39"/>
      <c r="I198" s="39"/>
      <c r="J198" s="60"/>
      <c r="K198" s="60"/>
      <c r="L198" s="60"/>
      <c r="M198" s="60"/>
      <c r="N198" s="60"/>
      <c r="O198" s="60"/>
      <c r="P198" s="60"/>
      <c r="Q198" s="60"/>
      <c r="R198" s="60"/>
      <c r="S198" s="60"/>
      <c r="T198" s="60"/>
      <c r="U198" s="61" t="n">
        <v>608.12</v>
      </c>
      <c r="V198" s="62"/>
      <c r="W198" s="62"/>
      <c r="X198" s="62"/>
      <c r="Y198" s="62"/>
      <c r="Z198" s="62"/>
      <c r="AA198" s="60"/>
      <c r="XEN198" s="32"/>
      <c r="XEO198" s="32"/>
      <c r="XEP198" s="32"/>
      <c r="XEQ198" s="32"/>
      <c r="XER198" s="32"/>
      <c r="XES198" s="32"/>
      <c r="XET198" s="32"/>
      <c r="XEU198" s="32"/>
      <c r="XEV198" s="32"/>
      <c r="XEW198" s="32"/>
      <c r="XEX198" s="32"/>
      <c r="XEY198" s="32"/>
      <c r="XEZ198" s="32"/>
      <c r="XFA198" s="32"/>
      <c r="XFB198" s="32"/>
      <c r="XFC198" s="32"/>
      <c r="XFD198" s="32"/>
    </row>
    <row r="199" s="40" customFormat="true" ht="18.75" hidden="false" customHeight="true" outlineLevel="0" collapsed="false">
      <c r="A199" s="42" t="s">
        <v>877</v>
      </c>
      <c r="B199" s="39" t="s">
        <v>258</v>
      </c>
      <c r="C199" s="38"/>
      <c r="D199" s="38" t="s">
        <v>259</v>
      </c>
      <c r="E199" s="38" t="s">
        <v>878</v>
      </c>
      <c r="F199" s="38"/>
      <c r="G199" s="59" t="s">
        <v>879</v>
      </c>
      <c r="H199" s="39"/>
      <c r="I199" s="39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1" t="n">
        <v>608.12</v>
      </c>
      <c r="V199" s="62"/>
      <c r="W199" s="62"/>
      <c r="X199" s="62"/>
      <c r="Y199" s="62"/>
      <c r="Z199" s="62"/>
      <c r="AA199" s="60"/>
      <c r="XEN199" s="32"/>
      <c r="XEO199" s="32"/>
      <c r="XEP199" s="32"/>
      <c r="XEQ199" s="32"/>
      <c r="XER199" s="32"/>
      <c r="XES199" s="32"/>
      <c r="XET199" s="32"/>
      <c r="XEU199" s="32"/>
      <c r="XEV199" s="32"/>
      <c r="XEW199" s="32"/>
      <c r="XEX199" s="32"/>
      <c r="XEY199" s="32"/>
      <c r="XEZ199" s="32"/>
      <c r="XFA199" s="32"/>
      <c r="XFB199" s="32"/>
      <c r="XFC199" s="32"/>
      <c r="XFD199" s="32"/>
    </row>
    <row r="200" s="40" customFormat="true" ht="18.75" hidden="false" customHeight="true" outlineLevel="0" collapsed="false">
      <c r="A200" s="42" t="s">
        <v>880</v>
      </c>
      <c r="B200" s="39" t="s">
        <v>258</v>
      </c>
      <c r="C200" s="38"/>
      <c r="D200" s="38" t="s">
        <v>259</v>
      </c>
      <c r="E200" s="38" t="s">
        <v>881</v>
      </c>
      <c r="F200" s="38"/>
      <c r="G200" s="59" t="n">
        <v>32028</v>
      </c>
      <c r="H200" s="39"/>
      <c r="I200" s="39"/>
      <c r="J200" s="60"/>
      <c r="K200" s="60"/>
      <c r="L200" s="60"/>
      <c r="M200" s="60"/>
      <c r="N200" s="60"/>
      <c r="O200" s="60"/>
      <c r="P200" s="60"/>
      <c r="Q200" s="60"/>
      <c r="R200" s="60"/>
      <c r="S200" s="60"/>
      <c r="T200" s="60"/>
      <c r="U200" s="61" t="n">
        <v>608.12</v>
      </c>
      <c r="V200" s="62"/>
      <c r="W200" s="62"/>
      <c r="X200" s="62"/>
      <c r="Y200" s="62"/>
      <c r="Z200" s="62"/>
      <c r="AA200" s="60"/>
      <c r="XEN200" s="32"/>
      <c r="XEO200" s="32"/>
      <c r="XEP200" s="32"/>
      <c r="XEQ200" s="32"/>
      <c r="XER200" s="32"/>
      <c r="XES200" s="32"/>
      <c r="XET200" s="32"/>
      <c r="XEU200" s="32"/>
      <c r="XEV200" s="32"/>
      <c r="XEW200" s="32"/>
      <c r="XEX200" s="32"/>
      <c r="XEY200" s="32"/>
      <c r="XEZ200" s="32"/>
      <c r="XFA200" s="32"/>
      <c r="XFB200" s="32"/>
      <c r="XFC200" s="32"/>
      <c r="XFD200" s="32"/>
    </row>
    <row r="201" s="40" customFormat="true" ht="18.75" hidden="false" customHeight="true" outlineLevel="0" collapsed="false">
      <c r="A201" s="42" t="s">
        <v>882</v>
      </c>
      <c r="B201" s="39" t="s">
        <v>258</v>
      </c>
      <c r="C201" s="38"/>
      <c r="D201" s="38" t="s">
        <v>259</v>
      </c>
      <c r="E201" s="38" t="s">
        <v>883</v>
      </c>
      <c r="F201" s="38"/>
      <c r="G201" s="59" t="n">
        <v>25356</v>
      </c>
      <c r="H201" s="39"/>
      <c r="I201" s="39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1" t="n">
        <v>608.12</v>
      </c>
      <c r="V201" s="62"/>
      <c r="W201" s="62"/>
      <c r="X201" s="62"/>
      <c r="Y201" s="62"/>
      <c r="Z201" s="62"/>
      <c r="AA201" s="60"/>
      <c r="XEN201" s="32"/>
      <c r="XEO201" s="32"/>
      <c r="XEP201" s="32"/>
      <c r="XEQ201" s="32"/>
      <c r="XER201" s="32"/>
      <c r="XES201" s="32"/>
      <c r="XET201" s="32"/>
      <c r="XEU201" s="32"/>
      <c r="XEV201" s="32"/>
      <c r="XEW201" s="32"/>
      <c r="XEX201" s="32"/>
      <c r="XEY201" s="32"/>
      <c r="XEZ201" s="32"/>
      <c r="XFA201" s="32"/>
      <c r="XFB201" s="32"/>
      <c r="XFC201" s="32"/>
      <c r="XFD201" s="32"/>
    </row>
    <row r="202" s="40" customFormat="true" ht="18.75" hidden="false" customHeight="true" outlineLevel="0" collapsed="false">
      <c r="A202" s="42" t="s">
        <v>884</v>
      </c>
      <c r="B202" s="39" t="s">
        <v>258</v>
      </c>
      <c r="C202" s="38"/>
      <c r="D202" s="38" t="s">
        <v>259</v>
      </c>
      <c r="E202" s="38" t="s">
        <v>885</v>
      </c>
      <c r="F202" s="38"/>
      <c r="G202" s="65" t="s">
        <v>886</v>
      </c>
      <c r="H202" s="39"/>
      <c r="I202" s="39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1" t="n">
        <v>608.12</v>
      </c>
      <c r="V202" s="62"/>
      <c r="W202" s="62"/>
      <c r="X202" s="62"/>
      <c r="Y202" s="62"/>
      <c r="Z202" s="62"/>
      <c r="AA202" s="60"/>
      <c r="XEN202" s="32"/>
      <c r="XEO202" s="32"/>
      <c r="XEP202" s="32"/>
      <c r="XEQ202" s="32"/>
      <c r="XER202" s="32"/>
      <c r="XES202" s="32"/>
      <c r="XET202" s="32"/>
      <c r="XEU202" s="32"/>
      <c r="XEV202" s="32"/>
      <c r="XEW202" s="32"/>
      <c r="XEX202" s="32"/>
      <c r="XEY202" s="32"/>
      <c r="XEZ202" s="32"/>
      <c r="XFA202" s="32"/>
      <c r="XFB202" s="32"/>
      <c r="XFC202" s="32"/>
      <c r="XFD202" s="32"/>
    </row>
    <row r="203" s="40" customFormat="true" ht="18.75" hidden="false" customHeight="true" outlineLevel="0" collapsed="false">
      <c r="A203" s="42" t="s">
        <v>887</v>
      </c>
      <c r="B203" s="39" t="s">
        <v>326</v>
      </c>
      <c r="C203" s="42"/>
      <c r="D203" s="38" t="s">
        <v>327</v>
      </c>
      <c r="E203" s="38" t="s">
        <v>888</v>
      </c>
      <c r="F203" s="38"/>
      <c r="G203" s="59" t="s">
        <v>886</v>
      </c>
      <c r="H203" s="39"/>
      <c r="I203" s="39"/>
      <c r="J203" s="60"/>
      <c r="K203" s="60"/>
      <c r="L203" s="60"/>
      <c r="M203" s="60"/>
      <c r="N203" s="60"/>
      <c r="O203" s="60"/>
      <c r="P203" s="60"/>
      <c r="Q203" s="60"/>
      <c r="R203" s="60"/>
      <c r="S203" s="60"/>
      <c r="T203" s="60"/>
      <c r="U203" s="61" t="n">
        <v>608.12</v>
      </c>
      <c r="V203" s="62"/>
      <c r="W203" s="62"/>
      <c r="X203" s="62"/>
      <c r="Y203" s="62"/>
      <c r="Z203" s="62"/>
      <c r="AA203" s="60"/>
      <c r="XEN203" s="32"/>
      <c r="XEO203" s="32"/>
      <c r="XEP203" s="32"/>
      <c r="XEQ203" s="32"/>
      <c r="XER203" s="32"/>
      <c r="XES203" s="32"/>
      <c r="XET203" s="32"/>
      <c r="XEU203" s="32"/>
      <c r="XEV203" s="32"/>
      <c r="XEW203" s="32"/>
      <c r="XEX203" s="32"/>
      <c r="XEY203" s="32"/>
      <c r="XEZ203" s="32"/>
      <c r="XFA203" s="32"/>
      <c r="XFB203" s="32"/>
      <c r="XFC203" s="32"/>
      <c r="XFD203" s="32"/>
    </row>
    <row r="204" s="40" customFormat="true" ht="18.75" hidden="false" customHeight="true" outlineLevel="0" collapsed="false">
      <c r="A204" s="42" t="s">
        <v>889</v>
      </c>
      <c r="B204" s="38" t="s">
        <v>326</v>
      </c>
      <c r="C204" s="42"/>
      <c r="D204" s="38" t="s">
        <v>327</v>
      </c>
      <c r="E204" s="38" t="s">
        <v>890</v>
      </c>
      <c r="F204" s="38"/>
      <c r="G204" s="59" t="s">
        <v>891</v>
      </c>
      <c r="H204" s="39"/>
      <c r="I204" s="39"/>
      <c r="J204" s="60"/>
      <c r="K204" s="60"/>
      <c r="L204" s="60"/>
      <c r="M204" s="60"/>
      <c r="N204" s="60"/>
      <c r="O204" s="60"/>
      <c r="P204" s="60"/>
      <c r="Q204" s="60"/>
      <c r="R204" s="60"/>
      <c r="S204" s="60"/>
      <c r="T204" s="60"/>
      <c r="U204" s="61" t="n">
        <v>608.12</v>
      </c>
      <c r="V204" s="62"/>
      <c r="W204" s="62"/>
      <c r="X204" s="62"/>
      <c r="Y204" s="62"/>
      <c r="Z204" s="62"/>
      <c r="AA204" s="60"/>
      <c r="XEN204" s="32"/>
      <c r="XEO204" s="32"/>
      <c r="XEP204" s="32"/>
      <c r="XEQ204" s="32"/>
      <c r="XER204" s="32"/>
      <c r="XES204" s="32"/>
      <c r="XET204" s="32"/>
      <c r="XEU204" s="32"/>
      <c r="XEV204" s="32"/>
      <c r="XEW204" s="32"/>
      <c r="XEX204" s="32"/>
      <c r="XEY204" s="32"/>
      <c r="XEZ204" s="32"/>
      <c r="XFA204" s="32"/>
      <c r="XFB204" s="32"/>
      <c r="XFC204" s="32"/>
      <c r="XFD204" s="32"/>
    </row>
    <row r="205" s="40" customFormat="true" ht="18.75" hidden="false" customHeight="true" outlineLevel="0" collapsed="false">
      <c r="A205" s="42" t="s">
        <v>892</v>
      </c>
      <c r="B205" s="39" t="s">
        <v>326</v>
      </c>
      <c r="C205" s="42"/>
      <c r="D205" s="38" t="s">
        <v>327</v>
      </c>
      <c r="E205" s="38" t="s">
        <v>893</v>
      </c>
      <c r="F205" s="38"/>
      <c r="G205" s="59" t="n">
        <v>27453</v>
      </c>
      <c r="H205" s="39"/>
      <c r="I205" s="39"/>
      <c r="J205" s="60"/>
      <c r="K205" s="60"/>
      <c r="L205" s="60"/>
      <c r="M205" s="60"/>
      <c r="N205" s="60"/>
      <c r="O205" s="60"/>
      <c r="P205" s="60"/>
      <c r="Q205" s="60"/>
      <c r="R205" s="60"/>
      <c r="S205" s="60"/>
      <c r="T205" s="60"/>
      <c r="U205" s="61" t="n">
        <v>608.12</v>
      </c>
      <c r="V205" s="62"/>
      <c r="W205" s="62"/>
      <c r="X205" s="62"/>
      <c r="Y205" s="62"/>
      <c r="Z205" s="62"/>
      <c r="AA205" s="60"/>
      <c r="XEN205" s="32"/>
      <c r="XEO205" s="32"/>
      <c r="XEP205" s="32"/>
      <c r="XEQ205" s="32"/>
      <c r="XER205" s="32"/>
      <c r="XES205" s="32"/>
      <c r="XET205" s="32"/>
      <c r="XEU205" s="32"/>
      <c r="XEV205" s="32"/>
      <c r="XEW205" s="32"/>
      <c r="XEX205" s="32"/>
      <c r="XEY205" s="32"/>
      <c r="XEZ205" s="32"/>
      <c r="XFA205" s="32"/>
      <c r="XFB205" s="32"/>
      <c r="XFC205" s="32"/>
      <c r="XFD205" s="32"/>
    </row>
    <row r="206" s="40" customFormat="true" ht="18.75" hidden="false" customHeight="true" outlineLevel="0" collapsed="false">
      <c r="A206" s="42" t="s">
        <v>894</v>
      </c>
      <c r="B206" s="39" t="s">
        <v>326</v>
      </c>
      <c r="C206" s="42"/>
      <c r="D206" s="38" t="s">
        <v>327</v>
      </c>
      <c r="E206" s="38" t="s">
        <v>895</v>
      </c>
      <c r="F206" s="38"/>
      <c r="G206" s="59" t="s">
        <v>896</v>
      </c>
      <c r="H206" s="39"/>
      <c r="I206" s="39"/>
      <c r="J206" s="60"/>
      <c r="K206" s="60"/>
      <c r="L206" s="60"/>
      <c r="M206" s="60"/>
      <c r="N206" s="60"/>
      <c r="O206" s="60"/>
      <c r="P206" s="60"/>
      <c r="Q206" s="60"/>
      <c r="R206" s="60"/>
      <c r="S206" s="60"/>
      <c r="T206" s="60"/>
      <c r="U206" s="61" t="n">
        <v>608.12</v>
      </c>
      <c r="V206" s="62"/>
      <c r="W206" s="62"/>
      <c r="X206" s="62"/>
      <c r="Y206" s="62"/>
      <c r="Z206" s="62"/>
      <c r="AA206" s="60"/>
      <c r="XEN206" s="32"/>
      <c r="XEO206" s="32"/>
      <c r="XEP206" s="32"/>
      <c r="XEQ206" s="32"/>
      <c r="XER206" s="32"/>
      <c r="XES206" s="32"/>
      <c r="XET206" s="32"/>
      <c r="XEU206" s="32"/>
      <c r="XEV206" s="32"/>
      <c r="XEW206" s="32"/>
      <c r="XEX206" s="32"/>
      <c r="XEY206" s="32"/>
      <c r="XEZ206" s="32"/>
      <c r="XFA206" s="32"/>
      <c r="XFB206" s="32"/>
      <c r="XFC206" s="32"/>
      <c r="XFD206" s="32"/>
    </row>
    <row r="207" s="40" customFormat="true" ht="18.75" hidden="false" customHeight="true" outlineLevel="0" collapsed="false">
      <c r="A207" s="42" t="s">
        <v>897</v>
      </c>
      <c r="B207" s="39" t="s">
        <v>326</v>
      </c>
      <c r="C207" s="42"/>
      <c r="D207" s="38" t="s">
        <v>327</v>
      </c>
      <c r="E207" s="38" t="s">
        <v>898</v>
      </c>
      <c r="F207" s="38"/>
      <c r="G207" s="65" t="s">
        <v>899</v>
      </c>
      <c r="H207" s="39"/>
      <c r="I207" s="39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1" t="n">
        <v>608.12</v>
      </c>
      <c r="V207" s="62"/>
      <c r="W207" s="62"/>
      <c r="X207" s="62"/>
      <c r="Y207" s="62"/>
      <c r="Z207" s="62"/>
      <c r="AA207" s="60"/>
      <c r="XEN207" s="32"/>
      <c r="XEO207" s="32"/>
      <c r="XEP207" s="32"/>
      <c r="XEQ207" s="32"/>
      <c r="XER207" s="32"/>
      <c r="XES207" s="32"/>
      <c r="XET207" s="32"/>
      <c r="XEU207" s="32"/>
      <c r="XEV207" s="32"/>
      <c r="XEW207" s="32"/>
      <c r="XEX207" s="32"/>
      <c r="XEY207" s="32"/>
      <c r="XEZ207" s="32"/>
      <c r="XFA207" s="32"/>
      <c r="XFB207" s="32"/>
      <c r="XFC207" s="32"/>
      <c r="XFD207" s="32"/>
    </row>
    <row r="208" s="40" customFormat="true" ht="18.75" hidden="false" customHeight="true" outlineLevel="0" collapsed="false">
      <c r="A208" s="42" t="s">
        <v>900</v>
      </c>
      <c r="B208" s="39" t="s">
        <v>260</v>
      </c>
      <c r="C208" s="42"/>
      <c r="D208" s="38" t="s">
        <v>261</v>
      </c>
      <c r="E208" s="38" t="s">
        <v>901</v>
      </c>
      <c r="F208" s="38"/>
      <c r="G208" s="59" t="s">
        <v>902</v>
      </c>
      <c r="H208" s="39"/>
      <c r="I208" s="39"/>
      <c r="J208" s="60"/>
      <c r="K208" s="60"/>
      <c r="L208" s="60"/>
      <c r="M208" s="60"/>
      <c r="N208" s="60"/>
      <c r="O208" s="60"/>
      <c r="P208" s="60"/>
      <c r="Q208" s="60"/>
      <c r="R208" s="60"/>
      <c r="S208" s="60"/>
      <c r="T208" s="60"/>
      <c r="U208" s="61" t="n">
        <v>608.12</v>
      </c>
      <c r="V208" s="62"/>
      <c r="W208" s="62"/>
      <c r="X208" s="62"/>
      <c r="Y208" s="62"/>
      <c r="Z208" s="62"/>
      <c r="AA208" s="60"/>
      <c r="XEN208" s="32"/>
      <c r="XEO208" s="32"/>
      <c r="XEP208" s="32"/>
      <c r="XEQ208" s="32"/>
      <c r="XER208" s="32"/>
      <c r="XES208" s="32"/>
      <c r="XET208" s="32"/>
      <c r="XEU208" s="32"/>
      <c r="XEV208" s="32"/>
      <c r="XEW208" s="32"/>
      <c r="XEX208" s="32"/>
      <c r="XEY208" s="32"/>
      <c r="XEZ208" s="32"/>
      <c r="XFA208" s="32"/>
      <c r="XFB208" s="32"/>
      <c r="XFC208" s="32"/>
      <c r="XFD208" s="32"/>
    </row>
    <row r="209" s="40" customFormat="true" ht="18.75" hidden="false" customHeight="true" outlineLevel="0" collapsed="false">
      <c r="A209" s="42" t="s">
        <v>903</v>
      </c>
      <c r="B209" s="39" t="s">
        <v>260</v>
      </c>
      <c r="C209" s="39"/>
      <c r="D209" s="38" t="s">
        <v>261</v>
      </c>
      <c r="E209" s="38" t="s">
        <v>904</v>
      </c>
      <c r="F209" s="38"/>
      <c r="G209" s="59" t="n">
        <v>37195</v>
      </c>
      <c r="H209" s="39"/>
      <c r="I209" s="39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1" t="n">
        <v>608.12</v>
      </c>
      <c r="V209" s="62"/>
      <c r="W209" s="62"/>
      <c r="X209" s="62"/>
      <c r="Y209" s="62"/>
      <c r="Z209" s="62"/>
      <c r="AA209" s="60"/>
      <c r="XEN209" s="32"/>
      <c r="XEO209" s="32"/>
      <c r="XEP209" s="32"/>
      <c r="XEQ209" s="32"/>
      <c r="XER209" s="32"/>
      <c r="XES209" s="32"/>
      <c r="XET209" s="32"/>
      <c r="XEU209" s="32"/>
      <c r="XEV209" s="32"/>
      <c r="XEW209" s="32"/>
      <c r="XEX209" s="32"/>
      <c r="XEY209" s="32"/>
      <c r="XEZ209" s="32"/>
      <c r="XFA209" s="32"/>
      <c r="XFB209" s="32"/>
      <c r="XFC209" s="32"/>
      <c r="XFD209" s="32"/>
    </row>
    <row r="210" s="40" customFormat="true" ht="18.75" hidden="false" customHeight="true" outlineLevel="0" collapsed="false">
      <c r="A210" s="42" t="s">
        <v>905</v>
      </c>
      <c r="B210" s="39" t="s">
        <v>260</v>
      </c>
      <c r="C210" s="42"/>
      <c r="D210" s="38" t="s">
        <v>261</v>
      </c>
      <c r="E210" s="38" t="s">
        <v>906</v>
      </c>
      <c r="F210" s="38"/>
      <c r="G210" s="59" t="s">
        <v>907</v>
      </c>
      <c r="H210" s="39"/>
      <c r="I210" s="39"/>
      <c r="J210" s="60"/>
      <c r="K210" s="60"/>
      <c r="L210" s="60"/>
      <c r="M210" s="60"/>
      <c r="N210" s="60"/>
      <c r="O210" s="60"/>
      <c r="P210" s="60"/>
      <c r="Q210" s="60"/>
      <c r="R210" s="60"/>
      <c r="S210" s="60"/>
      <c r="T210" s="60"/>
      <c r="U210" s="61" t="n">
        <v>608.12</v>
      </c>
      <c r="V210" s="62"/>
      <c r="W210" s="62"/>
      <c r="X210" s="62"/>
      <c r="Y210" s="62"/>
      <c r="Z210" s="62"/>
      <c r="AA210" s="60"/>
      <c r="XEN210" s="32"/>
      <c r="XEO210" s="32"/>
      <c r="XEP210" s="32"/>
      <c r="XEQ210" s="32"/>
      <c r="XER210" s="32"/>
      <c r="XES210" s="32"/>
      <c r="XET210" s="32"/>
      <c r="XEU210" s="32"/>
      <c r="XEV210" s="32"/>
      <c r="XEW210" s="32"/>
      <c r="XEX210" s="32"/>
      <c r="XEY210" s="32"/>
      <c r="XEZ210" s="32"/>
      <c r="XFA210" s="32"/>
      <c r="XFB210" s="32"/>
      <c r="XFC210" s="32"/>
      <c r="XFD210" s="32"/>
    </row>
    <row r="211" s="40" customFormat="true" ht="18.75" hidden="false" customHeight="true" outlineLevel="0" collapsed="false">
      <c r="A211" s="71" t="s">
        <v>908</v>
      </c>
      <c r="B211" s="39" t="s">
        <v>260</v>
      </c>
      <c r="C211" s="42"/>
      <c r="D211" s="38" t="s">
        <v>261</v>
      </c>
      <c r="E211" s="38" t="s">
        <v>909</v>
      </c>
      <c r="F211" s="38"/>
      <c r="G211" s="59" t="n">
        <v>31722</v>
      </c>
      <c r="H211" s="39"/>
      <c r="I211" s="39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1" t="n">
        <v>608.12</v>
      </c>
      <c r="V211" s="62"/>
      <c r="W211" s="62"/>
      <c r="X211" s="62"/>
      <c r="Y211" s="62"/>
      <c r="Z211" s="62"/>
      <c r="AA211" s="60"/>
      <c r="XEN211" s="32"/>
      <c r="XEO211" s="32"/>
      <c r="XEP211" s="32"/>
      <c r="XEQ211" s="32"/>
      <c r="XER211" s="32"/>
      <c r="XES211" s="32"/>
      <c r="XET211" s="32"/>
      <c r="XEU211" s="32"/>
      <c r="XEV211" s="32"/>
      <c r="XEW211" s="32"/>
      <c r="XEX211" s="32"/>
      <c r="XEY211" s="32"/>
      <c r="XEZ211" s="32"/>
      <c r="XFA211" s="32"/>
      <c r="XFB211" s="32"/>
      <c r="XFC211" s="32"/>
      <c r="XFD211" s="32"/>
    </row>
    <row r="212" s="40" customFormat="true" ht="18.75" hidden="false" customHeight="true" outlineLevel="0" collapsed="false">
      <c r="A212" s="42" t="s">
        <v>910</v>
      </c>
      <c r="B212" s="39" t="s">
        <v>260</v>
      </c>
      <c r="C212" s="42"/>
      <c r="D212" s="38" t="s">
        <v>261</v>
      </c>
      <c r="E212" s="38" t="s">
        <v>911</v>
      </c>
      <c r="F212" s="38"/>
      <c r="G212" s="65" t="s">
        <v>912</v>
      </c>
      <c r="H212" s="39"/>
      <c r="I212" s="39"/>
      <c r="J212" s="60"/>
      <c r="K212" s="60"/>
      <c r="L212" s="60"/>
      <c r="M212" s="60"/>
      <c r="N212" s="60"/>
      <c r="O212" s="60"/>
      <c r="P212" s="60"/>
      <c r="Q212" s="60"/>
      <c r="R212" s="60"/>
      <c r="S212" s="60"/>
      <c r="T212" s="60"/>
      <c r="U212" s="61" t="n">
        <v>608.12</v>
      </c>
      <c r="V212" s="62"/>
      <c r="W212" s="62"/>
      <c r="X212" s="62"/>
      <c r="Y212" s="62"/>
      <c r="Z212" s="62"/>
      <c r="AA212" s="60"/>
      <c r="XEN212" s="32"/>
      <c r="XEO212" s="32"/>
      <c r="XEP212" s="32"/>
      <c r="XEQ212" s="32"/>
      <c r="XER212" s="32"/>
      <c r="XES212" s="32"/>
      <c r="XET212" s="32"/>
      <c r="XEU212" s="32"/>
      <c r="XEV212" s="32"/>
      <c r="XEW212" s="32"/>
      <c r="XEX212" s="32"/>
      <c r="XEY212" s="32"/>
      <c r="XEZ212" s="32"/>
      <c r="XFA212" s="32"/>
      <c r="XFB212" s="32"/>
      <c r="XFC212" s="32"/>
      <c r="XFD212" s="32"/>
    </row>
    <row r="213" s="40" customFormat="true" ht="18.75" hidden="false" customHeight="true" outlineLevel="0" collapsed="false">
      <c r="A213" s="39" t="s">
        <v>913</v>
      </c>
      <c r="B213" s="37" t="s">
        <v>176</v>
      </c>
      <c r="C213" s="38"/>
      <c r="D213" s="38" t="s">
        <v>177</v>
      </c>
      <c r="E213" s="39" t="s">
        <v>914</v>
      </c>
      <c r="F213" s="39"/>
      <c r="G213" s="70" t="s">
        <v>915</v>
      </c>
      <c r="H213" s="39"/>
      <c r="I213" s="39"/>
      <c r="J213" s="60"/>
      <c r="K213" s="60"/>
      <c r="L213" s="60"/>
      <c r="M213" s="60"/>
      <c r="N213" s="60"/>
      <c r="O213" s="60"/>
      <c r="P213" s="60"/>
      <c r="Q213" s="60"/>
      <c r="R213" s="60"/>
      <c r="S213" s="60"/>
      <c r="T213" s="60"/>
      <c r="U213" s="62" t="n">
        <v>608.12</v>
      </c>
      <c r="V213" s="62"/>
      <c r="W213" s="62"/>
      <c r="Y213" s="62"/>
      <c r="Z213" s="62"/>
      <c r="AA213" s="60"/>
      <c r="XEN213" s="32"/>
      <c r="XEO213" s="32"/>
      <c r="XEP213" s="32"/>
      <c r="XEQ213" s="32"/>
      <c r="XER213" s="32"/>
      <c r="XES213" s="32"/>
      <c r="XET213" s="32"/>
      <c r="XEU213" s="32"/>
      <c r="XEV213" s="32"/>
      <c r="XEW213" s="32"/>
      <c r="XEX213" s="32"/>
      <c r="XEY213" s="32"/>
      <c r="XEZ213" s="32"/>
      <c r="XFA213" s="32"/>
      <c r="XFB213" s="32"/>
      <c r="XFC213" s="32"/>
      <c r="XFD213" s="32"/>
    </row>
    <row r="214" s="40" customFormat="true" ht="18.75" hidden="false" customHeight="true" outlineLevel="0" collapsed="false">
      <c r="A214" s="42" t="s">
        <v>916</v>
      </c>
      <c r="B214" s="37" t="s">
        <v>176</v>
      </c>
      <c r="C214" s="42"/>
      <c r="D214" s="42" t="s">
        <v>177</v>
      </c>
      <c r="E214" s="38" t="s">
        <v>917</v>
      </c>
      <c r="F214" s="39"/>
      <c r="G214" s="59" t="n">
        <v>36881</v>
      </c>
      <c r="H214" s="39"/>
      <c r="I214" s="39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2" t="n">
        <v>608.12</v>
      </c>
      <c r="V214" s="39"/>
      <c r="W214" s="39"/>
      <c r="X214" s="62"/>
      <c r="Y214" s="39"/>
      <c r="Z214" s="62"/>
      <c r="AA214" s="60"/>
      <c r="XEN214" s="32"/>
      <c r="XEO214" s="32"/>
      <c r="XEP214" s="32"/>
      <c r="XEQ214" s="32"/>
      <c r="XER214" s="32"/>
      <c r="XES214" s="32"/>
      <c r="XET214" s="32"/>
      <c r="XEU214" s="32"/>
      <c r="XEV214" s="32"/>
      <c r="XEW214" s="32"/>
      <c r="XEX214" s="32"/>
      <c r="XEY214" s="32"/>
      <c r="XEZ214" s="32"/>
      <c r="XFA214" s="32"/>
      <c r="XFB214" s="32"/>
      <c r="XFC214" s="32"/>
      <c r="XFD214" s="32"/>
    </row>
    <row r="215" s="40" customFormat="true" ht="18.75" hidden="false" customHeight="true" outlineLevel="0" collapsed="false">
      <c r="A215" s="42" t="s">
        <v>918</v>
      </c>
      <c r="B215" s="37" t="s">
        <v>176</v>
      </c>
      <c r="C215" s="42"/>
      <c r="D215" s="38" t="s">
        <v>177</v>
      </c>
      <c r="E215" s="38" t="s">
        <v>919</v>
      </c>
      <c r="F215" s="39"/>
      <c r="G215" s="59" t="n">
        <v>32281</v>
      </c>
      <c r="H215" s="39"/>
      <c r="I215" s="39"/>
      <c r="J215" s="60"/>
      <c r="K215" s="60"/>
      <c r="L215" s="60"/>
      <c r="M215" s="60"/>
      <c r="N215" s="60"/>
      <c r="O215" s="60"/>
      <c r="P215" s="60"/>
      <c r="Q215" s="60"/>
      <c r="R215" s="60"/>
      <c r="S215" s="60"/>
      <c r="T215" s="60"/>
      <c r="U215" s="62" t="n">
        <v>608.12</v>
      </c>
      <c r="V215" s="39"/>
      <c r="W215" s="39"/>
      <c r="X215" s="62"/>
      <c r="Y215" s="39"/>
      <c r="Z215" s="62"/>
      <c r="AA215" s="60"/>
      <c r="XEN215" s="32"/>
      <c r="XEO215" s="32"/>
      <c r="XEP215" s="32"/>
      <c r="XEQ215" s="32"/>
      <c r="XER215" s="32"/>
      <c r="XES215" s="32"/>
      <c r="XET215" s="32"/>
      <c r="XEU215" s="32"/>
      <c r="XEV215" s="32"/>
      <c r="XEW215" s="32"/>
      <c r="XEX215" s="32"/>
      <c r="XEY215" s="32"/>
      <c r="XEZ215" s="32"/>
      <c r="XFA215" s="32"/>
      <c r="XFB215" s="32"/>
      <c r="XFC215" s="32"/>
      <c r="XFD215" s="32"/>
    </row>
    <row r="216" s="40" customFormat="true" ht="18.75" hidden="false" customHeight="true" outlineLevel="0" collapsed="false">
      <c r="A216" s="42" t="s">
        <v>920</v>
      </c>
      <c r="B216" s="37" t="s">
        <v>176</v>
      </c>
      <c r="C216" s="42"/>
      <c r="D216" s="42" t="s">
        <v>177</v>
      </c>
      <c r="E216" s="38" t="s">
        <v>921</v>
      </c>
      <c r="F216" s="39"/>
      <c r="G216" s="65" t="s">
        <v>922</v>
      </c>
      <c r="H216" s="39"/>
      <c r="I216" s="39"/>
      <c r="J216" s="60"/>
      <c r="K216" s="60"/>
      <c r="L216" s="60"/>
      <c r="M216" s="60"/>
      <c r="N216" s="60"/>
      <c r="O216" s="60"/>
      <c r="P216" s="60"/>
      <c r="Q216" s="60"/>
      <c r="R216" s="60"/>
      <c r="S216" s="60"/>
      <c r="T216" s="60"/>
      <c r="U216" s="62" t="n">
        <v>608.12</v>
      </c>
      <c r="V216" s="39"/>
      <c r="W216" s="39"/>
      <c r="X216" s="62"/>
      <c r="Y216" s="39"/>
      <c r="Z216" s="62"/>
      <c r="AA216" s="60"/>
      <c r="XEN216" s="32"/>
      <c r="XEO216" s="32"/>
      <c r="XEP216" s="32"/>
      <c r="XEQ216" s="32"/>
      <c r="XER216" s="32"/>
      <c r="XES216" s="32"/>
      <c r="XET216" s="32"/>
      <c r="XEU216" s="32"/>
      <c r="XEV216" s="32"/>
      <c r="XEW216" s="32"/>
      <c r="XEX216" s="32"/>
      <c r="XEY216" s="32"/>
      <c r="XEZ216" s="32"/>
      <c r="XFA216" s="32"/>
      <c r="XFB216" s="32"/>
      <c r="XFC216" s="32"/>
      <c r="XFD216" s="32"/>
    </row>
    <row r="217" s="40" customFormat="true" ht="18.75" hidden="false" customHeight="true" outlineLevel="0" collapsed="false">
      <c r="A217" s="42" t="s">
        <v>923</v>
      </c>
      <c r="B217" s="37" t="n">
        <v>54343553000176</v>
      </c>
      <c r="C217" s="42"/>
      <c r="D217" s="42" t="s">
        <v>154</v>
      </c>
      <c r="E217" s="42" t="s">
        <v>924</v>
      </c>
      <c r="F217" s="39"/>
      <c r="G217" s="65" t="s">
        <v>925</v>
      </c>
      <c r="H217" s="39"/>
      <c r="I217" s="39"/>
      <c r="J217" s="60"/>
      <c r="K217" s="60"/>
      <c r="L217" s="60"/>
      <c r="M217" s="60"/>
      <c r="N217" s="60"/>
      <c r="O217" s="60"/>
      <c r="P217" s="60"/>
      <c r="Q217" s="60"/>
      <c r="R217" s="60"/>
      <c r="S217" s="60"/>
      <c r="T217" s="60"/>
      <c r="U217" s="62" t="n">
        <v>608.12</v>
      </c>
      <c r="V217" s="62"/>
      <c r="W217" s="62"/>
      <c r="X217" s="62"/>
      <c r="Y217" s="62"/>
      <c r="Z217" s="62"/>
      <c r="AA217" s="60"/>
      <c r="XEN217" s="32"/>
      <c r="XEO217" s="32"/>
      <c r="XEP217" s="32"/>
      <c r="XEQ217" s="32"/>
      <c r="XER217" s="32"/>
      <c r="XES217" s="32"/>
      <c r="XET217" s="32"/>
      <c r="XEU217" s="32"/>
      <c r="XEV217" s="32"/>
      <c r="XEW217" s="32"/>
      <c r="XEX217" s="32"/>
      <c r="XEY217" s="32"/>
      <c r="XEZ217" s="32"/>
      <c r="XFA217" s="32"/>
      <c r="XFB217" s="32"/>
      <c r="XFC217" s="32"/>
      <c r="XFD217" s="32"/>
    </row>
    <row r="218" s="40" customFormat="true" ht="18.75" hidden="false" customHeight="true" outlineLevel="0" collapsed="false">
      <c r="A218" s="42" t="s">
        <v>926</v>
      </c>
      <c r="B218" s="39" t="s">
        <v>276</v>
      </c>
      <c r="C218" s="42"/>
      <c r="D218" s="38" t="s">
        <v>277</v>
      </c>
      <c r="E218" s="38" t="s">
        <v>927</v>
      </c>
      <c r="F218" s="38"/>
      <c r="G218" s="59" t="n">
        <v>34125</v>
      </c>
      <c r="H218" s="39"/>
      <c r="I218" s="39"/>
      <c r="J218" s="60"/>
      <c r="K218" s="60"/>
      <c r="L218" s="60"/>
      <c r="M218" s="60"/>
      <c r="N218" s="60"/>
      <c r="O218" s="60"/>
      <c r="P218" s="60"/>
      <c r="Q218" s="60"/>
      <c r="R218" s="60"/>
      <c r="S218" s="60"/>
      <c r="T218" s="60"/>
      <c r="U218" s="61" t="n">
        <v>608.12</v>
      </c>
      <c r="V218" s="62"/>
      <c r="W218" s="62"/>
      <c r="X218" s="62"/>
      <c r="Y218" s="62"/>
      <c r="Z218" s="62"/>
      <c r="AA218" s="60"/>
      <c r="XEN218" s="32"/>
      <c r="XEO218" s="32"/>
      <c r="XEP218" s="32"/>
      <c r="XEQ218" s="32"/>
      <c r="XER218" s="32"/>
      <c r="XES218" s="32"/>
      <c r="XET218" s="32"/>
      <c r="XEU218" s="32"/>
      <c r="XEV218" s="32"/>
      <c r="XEW218" s="32"/>
      <c r="XEX218" s="32"/>
      <c r="XEY218" s="32"/>
      <c r="XEZ218" s="32"/>
      <c r="XFA218" s="32"/>
      <c r="XFB218" s="32"/>
      <c r="XFC218" s="32"/>
      <c r="XFD218" s="32"/>
    </row>
    <row r="219" s="40" customFormat="true" ht="18.75" hidden="false" customHeight="true" outlineLevel="0" collapsed="false">
      <c r="A219" s="42" t="s">
        <v>928</v>
      </c>
      <c r="B219" s="39" t="s">
        <v>276</v>
      </c>
      <c r="C219" s="42"/>
      <c r="D219" s="38" t="s">
        <v>277</v>
      </c>
      <c r="E219" s="38" t="s">
        <v>929</v>
      </c>
      <c r="F219" s="38"/>
      <c r="G219" s="59" t="s">
        <v>930</v>
      </c>
      <c r="H219" s="39"/>
      <c r="I219" s="39"/>
      <c r="J219" s="60"/>
      <c r="K219" s="60"/>
      <c r="L219" s="60"/>
      <c r="M219" s="60"/>
      <c r="N219" s="60"/>
      <c r="O219" s="60"/>
      <c r="P219" s="60"/>
      <c r="Q219" s="60"/>
      <c r="R219" s="60"/>
      <c r="S219" s="60"/>
      <c r="T219" s="60"/>
      <c r="U219" s="61" t="n">
        <v>608.12</v>
      </c>
      <c r="V219" s="62"/>
      <c r="W219" s="62"/>
      <c r="X219" s="62"/>
      <c r="Y219" s="62"/>
      <c r="Z219" s="62"/>
      <c r="AA219" s="60"/>
      <c r="XEN219" s="32"/>
      <c r="XEO219" s="32"/>
      <c r="XEP219" s="32"/>
      <c r="XEQ219" s="32"/>
      <c r="XER219" s="32"/>
      <c r="XES219" s="32"/>
      <c r="XET219" s="32"/>
      <c r="XEU219" s="32"/>
      <c r="XEV219" s="32"/>
      <c r="XEW219" s="32"/>
      <c r="XEX219" s="32"/>
      <c r="XEY219" s="32"/>
      <c r="XEZ219" s="32"/>
      <c r="XFA219" s="32"/>
      <c r="XFB219" s="32"/>
      <c r="XFC219" s="32"/>
      <c r="XFD219" s="32"/>
    </row>
    <row r="220" s="40" customFormat="true" ht="18.75" hidden="false" customHeight="true" outlineLevel="0" collapsed="false">
      <c r="A220" s="42" t="s">
        <v>931</v>
      </c>
      <c r="B220" s="39" t="s">
        <v>276</v>
      </c>
      <c r="C220" s="42"/>
      <c r="D220" s="38" t="s">
        <v>277</v>
      </c>
      <c r="E220" s="38" t="s">
        <v>932</v>
      </c>
      <c r="F220" s="38"/>
      <c r="G220" s="65" t="n">
        <v>23501</v>
      </c>
      <c r="H220" s="39"/>
      <c r="I220" s="39"/>
      <c r="J220" s="60"/>
      <c r="K220" s="60"/>
      <c r="L220" s="60"/>
      <c r="M220" s="60"/>
      <c r="N220" s="60"/>
      <c r="O220" s="60"/>
      <c r="P220" s="60"/>
      <c r="Q220" s="60"/>
      <c r="R220" s="60"/>
      <c r="S220" s="60"/>
      <c r="T220" s="60"/>
      <c r="U220" s="61" t="n">
        <v>608.12</v>
      </c>
      <c r="V220" s="62"/>
      <c r="W220" s="62"/>
      <c r="X220" s="62"/>
      <c r="Y220" s="62"/>
      <c r="Z220" s="62"/>
      <c r="AA220" s="60"/>
      <c r="XEN220" s="32"/>
      <c r="XEO220" s="32"/>
      <c r="XEP220" s="32"/>
      <c r="XEQ220" s="32"/>
      <c r="XER220" s="32"/>
      <c r="XES220" s="32"/>
      <c r="XET220" s="32"/>
      <c r="XEU220" s="32"/>
      <c r="XEV220" s="32"/>
      <c r="XEW220" s="32"/>
      <c r="XEX220" s="32"/>
      <c r="XEY220" s="32"/>
      <c r="XEZ220" s="32"/>
      <c r="XFA220" s="32"/>
      <c r="XFB220" s="32"/>
      <c r="XFC220" s="32"/>
      <c r="XFD220" s="32"/>
    </row>
    <row r="221" s="40" customFormat="true" ht="18.75" hidden="false" customHeight="true" outlineLevel="0" collapsed="false">
      <c r="A221" s="42" t="s">
        <v>933</v>
      </c>
      <c r="B221" s="39" t="s">
        <v>288</v>
      </c>
      <c r="C221" s="42"/>
      <c r="D221" s="38" t="s">
        <v>289</v>
      </c>
      <c r="E221" s="38" t="s">
        <v>934</v>
      </c>
      <c r="F221" s="38"/>
      <c r="G221" s="59" t="s">
        <v>935</v>
      </c>
      <c r="H221" s="39"/>
      <c r="I221" s="39"/>
      <c r="J221" s="60"/>
      <c r="K221" s="60"/>
      <c r="L221" s="60"/>
      <c r="M221" s="60"/>
      <c r="N221" s="60"/>
      <c r="O221" s="60"/>
      <c r="P221" s="60"/>
      <c r="Q221" s="60"/>
      <c r="R221" s="60"/>
      <c r="S221" s="60"/>
      <c r="T221" s="60"/>
      <c r="U221" s="61" t="n">
        <v>608.12</v>
      </c>
      <c r="V221" s="62"/>
      <c r="W221" s="62"/>
      <c r="X221" s="62"/>
      <c r="Y221" s="62"/>
      <c r="Z221" s="62"/>
      <c r="AA221" s="60"/>
      <c r="XEN221" s="32"/>
      <c r="XEO221" s="32"/>
      <c r="XEP221" s="32"/>
      <c r="XEQ221" s="32"/>
      <c r="XER221" s="32"/>
      <c r="XES221" s="32"/>
      <c r="XET221" s="32"/>
      <c r="XEU221" s="32"/>
      <c r="XEV221" s="32"/>
      <c r="XEW221" s="32"/>
      <c r="XEX221" s="32"/>
      <c r="XEY221" s="32"/>
      <c r="XEZ221" s="32"/>
      <c r="XFA221" s="32"/>
      <c r="XFB221" s="32"/>
      <c r="XFC221" s="32"/>
      <c r="XFD221" s="32"/>
    </row>
    <row r="222" s="40" customFormat="true" ht="18.75" hidden="false" customHeight="true" outlineLevel="0" collapsed="false">
      <c r="A222" s="42" t="s">
        <v>936</v>
      </c>
      <c r="B222" s="39" t="s">
        <v>306</v>
      </c>
      <c r="C222" s="42"/>
      <c r="D222" s="38" t="s">
        <v>307</v>
      </c>
      <c r="E222" s="38" t="s">
        <v>937</v>
      </c>
      <c r="F222" s="38"/>
      <c r="G222" s="59" t="n">
        <v>24626</v>
      </c>
      <c r="H222" s="39"/>
      <c r="I222" s="39"/>
      <c r="J222" s="60"/>
      <c r="K222" s="60"/>
      <c r="L222" s="60"/>
      <c r="M222" s="60"/>
      <c r="N222" s="60"/>
      <c r="O222" s="60"/>
      <c r="P222" s="60"/>
      <c r="Q222" s="60"/>
      <c r="R222" s="60"/>
      <c r="S222" s="60"/>
      <c r="T222" s="60"/>
      <c r="U222" s="61" t="n">
        <v>100</v>
      </c>
      <c r="V222" s="62"/>
      <c r="W222" s="62"/>
      <c r="X222" s="62"/>
      <c r="Y222" s="62"/>
      <c r="Z222" s="62"/>
      <c r="AA222" s="60"/>
      <c r="XEN222" s="32"/>
      <c r="XEO222" s="32"/>
      <c r="XEP222" s="32"/>
      <c r="XEQ222" s="32"/>
      <c r="XER222" s="32"/>
      <c r="XES222" s="32"/>
      <c r="XET222" s="32"/>
      <c r="XEU222" s="32"/>
      <c r="XEV222" s="32"/>
      <c r="XEW222" s="32"/>
      <c r="XEX222" s="32"/>
      <c r="XEY222" s="32"/>
      <c r="XEZ222" s="32"/>
      <c r="XFA222" s="32"/>
      <c r="XFB222" s="32"/>
      <c r="XFC222" s="32"/>
      <c r="XFD222" s="32"/>
    </row>
    <row r="223" s="40" customFormat="true" ht="18.75" hidden="false" customHeight="true" outlineLevel="0" collapsed="false">
      <c r="A223" s="42" t="s">
        <v>938</v>
      </c>
      <c r="B223" s="39" t="s">
        <v>306</v>
      </c>
      <c r="C223" s="42"/>
      <c r="D223" s="38" t="s">
        <v>307</v>
      </c>
      <c r="E223" s="38" t="s">
        <v>939</v>
      </c>
      <c r="F223" s="38"/>
      <c r="G223" s="59" t="n">
        <v>27729</v>
      </c>
      <c r="H223" s="39"/>
      <c r="I223" s="39"/>
      <c r="J223" s="60"/>
      <c r="K223" s="60"/>
      <c r="L223" s="60"/>
      <c r="M223" s="60"/>
      <c r="N223" s="60"/>
      <c r="O223" s="60"/>
      <c r="P223" s="60"/>
      <c r="Q223" s="60"/>
      <c r="R223" s="60"/>
      <c r="S223" s="60"/>
      <c r="T223" s="60"/>
      <c r="U223" s="61" t="n">
        <v>100</v>
      </c>
      <c r="V223" s="62"/>
      <c r="W223" s="62"/>
      <c r="X223" s="62"/>
      <c r="Y223" s="62"/>
      <c r="Z223" s="62"/>
      <c r="AA223" s="60"/>
      <c r="XEN223" s="32"/>
      <c r="XEO223" s="32"/>
      <c r="XEP223" s="32"/>
      <c r="XEQ223" s="32"/>
      <c r="XER223" s="32"/>
      <c r="XES223" s="32"/>
      <c r="XET223" s="32"/>
      <c r="XEU223" s="32"/>
      <c r="XEV223" s="32"/>
      <c r="XEW223" s="32"/>
      <c r="XEX223" s="32"/>
      <c r="XEY223" s="32"/>
      <c r="XEZ223" s="32"/>
      <c r="XFA223" s="32"/>
      <c r="XFB223" s="32"/>
      <c r="XFC223" s="32"/>
      <c r="XFD223" s="32"/>
    </row>
    <row r="224" s="40" customFormat="true" ht="18.75" hidden="false" customHeight="true" outlineLevel="0" collapsed="false">
      <c r="A224" s="42" t="s">
        <v>940</v>
      </c>
      <c r="B224" s="39" t="s">
        <v>306</v>
      </c>
      <c r="C224" s="42"/>
      <c r="D224" s="38" t="s">
        <v>307</v>
      </c>
      <c r="E224" s="38" t="s">
        <v>941</v>
      </c>
      <c r="F224" s="38"/>
      <c r="G224" s="65" t="s">
        <v>942</v>
      </c>
      <c r="H224" s="39"/>
      <c r="I224" s="39"/>
      <c r="J224" s="60"/>
      <c r="K224" s="60"/>
      <c r="L224" s="60"/>
      <c r="M224" s="60"/>
      <c r="N224" s="60"/>
      <c r="O224" s="60"/>
      <c r="P224" s="60"/>
      <c r="Q224" s="60"/>
      <c r="R224" s="60"/>
      <c r="S224" s="60"/>
      <c r="T224" s="60"/>
      <c r="U224" s="61" t="n">
        <v>100</v>
      </c>
      <c r="V224" s="62"/>
      <c r="W224" s="62"/>
      <c r="X224" s="62"/>
      <c r="Y224" s="62"/>
      <c r="Z224" s="62"/>
      <c r="AA224" s="60"/>
      <c r="XEN224" s="32"/>
      <c r="XEO224" s="32"/>
      <c r="XEP224" s="32"/>
      <c r="XEQ224" s="32"/>
      <c r="XER224" s="32"/>
      <c r="XES224" s="32"/>
      <c r="XET224" s="32"/>
      <c r="XEU224" s="32"/>
      <c r="XEV224" s="32"/>
      <c r="XEW224" s="32"/>
      <c r="XEX224" s="32"/>
      <c r="XEY224" s="32"/>
      <c r="XEZ224" s="32"/>
      <c r="XFA224" s="32"/>
      <c r="XFB224" s="32"/>
      <c r="XFC224" s="32"/>
      <c r="XFD224" s="32"/>
    </row>
    <row r="225" s="40" customFormat="true" ht="18.75" hidden="false" customHeight="true" outlineLevel="0" collapsed="false">
      <c r="A225" s="42" t="s">
        <v>943</v>
      </c>
      <c r="B225" s="39" t="s">
        <v>306</v>
      </c>
      <c r="C225" s="42"/>
      <c r="D225" s="38" t="s">
        <v>307</v>
      </c>
      <c r="E225" s="38" t="s">
        <v>944</v>
      </c>
      <c r="F225" s="38"/>
      <c r="G225" s="65" t="n">
        <v>35646</v>
      </c>
      <c r="H225" s="39"/>
      <c r="I225" s="39"/>
      <c r="J225" s="60"/>
      <c r="K225" s="60"/>
      <c r="L225" s="60"/>
      <c r="M225" s="60"/>
      <c r="N225" s="60"/>
      <c r="O225" s="60"/>
      <c r="P225" s="60"/>
      <c r="Q225" s="60"/>
      <c r="R225" s="60"/>
      <c r="S225" s="60"/>
      <c r="T225" s="60"/>
      <c r="U225" s="61" t="n">
        <v>838</v>
      </c>
      <c r="V225" s="62"/>
      <c r="W225" s="62"/>
      <c r="X225" s="62"/>
      <c r="Y225" s="62"/>
      <c r="Z225" s="62"/>
      <c r="AA225" s="60"/>
      <c r="XEN225" s="32"/>
      <c r="XEO225" s="32"/>
      <c r="XEP225" s="32"/>
      <c r="XEQ225" s="32"/>
      <c r="XER225" s="32"/>
      <c r="XES225" s="32"/>
      <c r="XET225" s="32"/>
      <c r="XEU225" s="32"/>
      <c r="XEV225" s="32"/>
      <c r="XEW225" s="32"/>
      <c r="XEX225" s="32"/>
      <c r="XEY225" s="32"/>
      <c r="XEZ225" s="32"/>
      <c r="XFA225" s="32"/>
      <c r="XFB225" s="32"/>
      <c r="XFC225" s="32"/>
      <c r="XFD225" s="32"/>
    </row>
    <row r="226" s="40" customFormat="true" ht="18.75" hidden="false" customHeight="true" outlineLevel="0" collapsed="false">
      <c r="A226" s="42" t="s">
        <v>945</v>
      </c>
      <c r="B226" s="39" t="s">
        <v>306</v>
      </c>
      <c r="C226" s="38"/>
      <c r="D226" s="38" t="s">
        <v>946</v>
      </c>
      <c r="E226" s="38" t="s">
        <v>947</v>
      </c>
      <c r="F226" s="38"/>
      <c r="G226" s="59" t="n">
        <v>29169</v>
      </c>
      <c r="H226" s="39"/>
      <c r="I226" s="39"/>
      <c r="J226" s="60"/>
      <c r="K226" s="60"/>
      <c r="L226" s="60"/>
      <c r="M226" s="60"/>
      <c r="N226" s="60"/>
      <c r="O226" s="60"/>
      <c r="P226" s="60"/>
      <c r="Q226" s="60"/>
      <c r="R226" s="60"/>
      <c r="S226" s="60"/>
      <c r="T226" s="60"/>
      <c r="U226" s="61" t="n">
        <v>708.12</v>
      </c>
      <c r="V226" s="62"/>
      <c r="W226" s="62"/>
      <c r="X226" s="62"/>
      <c r="Y226" s="62"/>
      <c r="Z226" s="62"/>
      <c r="AA226" s="60"/>
      <c r="XEN226" s="32"/>
      <c r="XEO226" s="32"/>
      <c r="XEP226" s="32"/>
      <c r="XEQ226" s="32"/>
      <c r="XER226" s="32"/>
      <c r="XES226" s="32"/>
      <c r="XET226" s="32"/>
      <c r="XEU226" s="32"/>
      <c r="XEV226" s="32"/>
      <c r="XEW226" s="32"/>
      <c r="XEX226" s="32"/>
      <c r="XEY226" s="32"/>
      <c r="XEZ226" s="32"/>
      <c r="XFA226" s="32"/>
      <c r="XFB226" s="32"/>
      <c r="XFC226" s="32"/>
      <c r="XFD226" s="32"/>
    </row>
    <row r="227" s="40" customFormat="true" ht="18.75" hidden="false" customHeight="true" outlineLevel="0" collapsed="false">
      <c r="A227" s="42" t="s">
        <v>948</v>
      </c>
      <c r="B227" s="39" t="s">
        <v>306</v>
      </c>
      <c r="C227" s="38"/>
      <c r="D227" s="38" t="s">
        <v>946</v>
      </c>
      <c r="E227" s="38" t="s">
        <v>949</v>
      </c>
      <c r="F227" s="38"/>
      <c r="G227" s="59" t="n">
        <v>26601</v>
      </c>
      <c r="H227" s="39"/>
      <c r="I227" s="39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1" t="n">
        <v>708.12</v>
      </c>
      <c r="V227" s="62"/>
      <c r="W227" s="62"/>
      <c r="X227" s="62"/>
      <c r="Y227" s="62"/>
      <c r="Z227" s="62"/>
      <c r="AA227" s="60"/>
      <c r="XEN227" s="32"/>
      <c r="XEO227" s="32"/>
      <c r="XEP227" s="32"/>
      <c r="XEQ227" s="32"/>
      <c r="XER227" s="32"/>
      <c r="XES227" s="32"/>
      <c r="XET227" s="32"/>
      <c r="XEU227" s="32"/>
      <c r="XEV227" s="32"/>
      <c r="XEW227" s="32"/>
      <c r="XEX227" s="32"/>
      <c r="XEY227" s="32"/>
      <c r="XEZ227" s="32"/>
      <c r="XFA227" s="32"/>
      <c r="XFB227" s="32"/>
      <c r="XFC227" s="32"/>
      <c r="XFD227" s="32"/>
    </row>
    <row r="228" s="40" customFormat="true" ht="18.75" hidden="false" customHeight="true" outlineLevel="0" collapsed="false">
      <c r="A228" s="42" t="s">
        <v>950</v>
      </c>
      <c r="B228" s="37" t="s">
        <v>188</v>
      </c>
      <c r="C228" s="42"/>
      <c r="D228" s="38" t="s">
        <v>189</v>
      </c>
      <c r="E228" s="38" t="s">
        <v>951</v>
      </c>
      <c r="F228" s="38"/>
      <c r="G228" s="59" t="n">
        <v>29068</v>
      </c>
      <c r="H228" s="39"/>
      <c r="I228" s="39"/>
      <c r="J228" s="60"/>
      <c r="K228" s="60"/>
      <c r="L228" s="60"/>
      <c r="M228" s="60"/>
      <c r="N228" s="60"/>
      <c r="O228" s="60"/>
      <c r="P228" s="60"/>
      <c r="Q228" s="60"/>
      <c r="R228" s="60"/>
      <c r="S228" s="60"/>
      <c r="T228" s="60"/>
      <c r="U228" s="61" t="n">
        <v>608.12</v>
      </c>
      <c r="V228" s="62"/>
      <c r="W228" s="62"/>
      <c r="X228" s="62"/>
      <c r="Y228" s="62"/>
      <c r="Z228" s="62"/>
      <c r="AA228" s="60"/>
      <c r="XEN228" s="32"/>
      <c r="XEO228" s="32"/>
      <c r="XEP228" s="32"/>
      <c r="XEQ228" s="32"/>
      <c r="XER228" s="32"/>
      <c r="XES228" s="32"/>
      <c r="XET228" s="32"/>
      <c r="XEU228" s="32"/>
      <c r="XEV228" s="32"/>
      <c r="XEW228" s="32"/>
      <c r="XEX228" s="32"/>
      <c r="XEY228" s="32"/>
      <c r="XEZ228" s="32"/>
      <c r="XFA228" s="32"/>
      <c r="XFB228" s="32"/>
      <c r="XFC228" s="32"/>
      <c r="XFD228" s="32"/>
    </row>
    <row r="229" s="40" customFormat="true" ht="18.75" hidden="false" customHeight="true" outlineLevel="0" collapsed="false">
      <c r="A229" s="42" t="s">
        <v>952</v>
      </c>
      <c r="B229" s="37" t="s">
        <v>188</v>
      </c>
      <c r="C229" s="42"/>
      <c r="D229" s="38" t="s">
        <v>189</v>
      </c>
      <c r="E229" s="38" t="s">
        <v>953</v>
      </c>
      <c r="F229" s="38"/>
      <c r="G229" s="59" t="n">
        <v>35929</v>
      </c>
      <c r="H229" s="39"/>
      <c r="I229" s="39"/>
      <c r="J229" s="60"/>
      <c r="K229" s="60"/>
      <c r="L229" s="60"/>
      <c r="M229" s="60"/>
      <c r="N229" s="60"/>
      <c r="O229" s="60"/>
      <c r="P229" s="60"/>
      <c r="Q229" s="60"/>
      <c r="R229" s="60"/>
      <c r="S229" s="60"/>
      <c r="T229" s="60"/>
      <c r="U229" s="61" t="n">
        <v>608.12</v>
      </c>
      <c r="V229" s="62"/>
      <c r="W229" s="62"/>
      <c r="X229" s="62"/>
      <c r="Y229" s="62"/>
      <c r="Z229" s="62"/>
      <c r="AA229" s="60"/>
      <c r="XEN229" s="32"/>
      <c r="XEO229" s="32"/>
      <c r="XEP229" s="32"/>
      <c r="XEQ229" s="32"/>
      <c r="XER229" s="32"/>
      <c r="XES229" s="32"/>
      <c r="XET229" s="32"/>
      <c r="XEU229" s="32"/>
      <c r="XEV229" s="32"/>
      <c r="XEW229" s="32"/>
      <c r="XEX229" s="32"/>
      <c r="XEY229" s="32"/>
      <c r="XEZ229" s="32"/>
      <c r="XFA229" s="32"/>
      <c r="XFB229" s="32"/>
      <c r="XFC229" s="32"/>
      <c r="XFD229" s="32"/>
    </row>
    <row r="230" s="40" customFormat="true" ht="18.75" hidden="false" customHeight="true" outlineLevel="0" collapsed="false">
      <c r="A230" s="42" t="s">
        <v>954</v>
      </c>
      <c r="B230" s="37" t="s">
        <v>188</v>
      </c>
      <c r="C230" s="39"/>
      <c r="D230" s="38" t="s">
        <v>189</v>
      </c>
      <c r="E230" s="38" t="s">
        <v>955</v>
      </c>
      <c r="F230" s="38"/>
      <c r="G230" s="59" t="n">
        <v>38021</v>
      </c>
      <c r="H230" s="39"/>
      <c r="I230" s="39"/>
      <c r="J230" s="60"/>
      <c r="K230" s="60"/>
      <c r="L230" s="60"/>
      <c r="M230" s="60"/>
      <c r="N230" s="60"/>
      <c r="O230" s="60"/>
      <c r="P230" s="60"/>
      <c r="Q230" s="60"/>
      <c r="R230" s="60"/>
      <c r="S230" s="60"/>
      <c r="T230" s="60"/>
      <c r="U230" s="61" t="n">
        <v>608.12</v>
      </c>
      <c r="V230" s="62"/>
      <c r="W230" s="62"/>
      <c r="X230" s="62"/>
      <c r="Y230" s="62"/>
      <c r="Z230" s="62"/>
      <c r="AA230" s="60"/>
      <c r="XEN230" s="32"/>
      <c r="XEO230" s="32"/>
      <c r="XEP230" s="32"/>
      <c r="XEQ230" s="32"/>
      <c r="XER230" s="32"/>
      <c r="XES230" s="32"/>
      <c r="XET230" s="32"/>
      <c r="XEU230" s="32"/>
      <c r="XEV230" s="32"/>
      <c r="XEW230" s="32"/>
      <c r="XEX230" s="32"/>
      <c r="XEY230" s="32"/>
      <c r="XEZ230" s="32"/>
      <c r="XFA230" s="32"/>
      <c r="XFB230" s="32"/>
      <c r="XFC230" s="32"/>
      <c r="XFD230" s="32"/>
    </row>
    <row r="231" s="40" customFormat="true" ht="18.75" hidden="false" customHeight="true" outlineLevel="0" collapsed="false">
      <c r="A231" s="42" t="s">
        <v>956</v>
      </c>
      <c r="B231" s="37" t="s">
        <v>188</v>
      </c>
      <c r="C231" s="42"/>
      <c r="D231" s="38" t="s">
        <v>189</v>
      </c>
      <c r="E231" s="38" t="s">
        <v>957</v>
      </c>
      <c r="F231" s="38"/>
      <c r="G231" s="59" t="n">
        <v>30760</v>
      </c>
      <c r="H231" s="39"/>
      <c r="I231" s="39"/>
      <c r="J231" s="60"/>
      <c r="K231" s="60"/>
      <c r="L231" s="60"/>
      <c r="M231" s="60"/>
      <c r="N231" s="60"/>
      <c r="O231" s="60"/>
      <c r="P231" s="60"/>
      <c r="Q231" s="60"/>
      <c r="R231" s="60"/>
      <c r="S231" s="60"/>
      <c r="T231" s="60"/>
      <c r="U231" s="61" t="n">
        <v>608.12</v>
      </c>
      <c r="V231" s="62"/>
      <c r="W231" s="62"/>
      <c r="X231" s="62"/>
      <c r="Y231" s="62"/>
      <c r="Z231" s="62"/>
      <c r="AA231" s="60"/>
      <c r="XEN231" s="32"/>
      <c r="XEO231" s="32"/>
      <c r="XEP231" s="32"/>
      <c r="XEQ231" s="32"/>
      <c r="XER231" s="32"/>
      <c r="XES231" s="32"/>
      <c r="XET231" s="32"/>
      <c r="XEU231" s="32"/>
      <c r="XEV231" s="32"/>
      <c r="XEW231" s="32"/>
      <c r="XEX231" s="32"/>
      <c r="XEY231" s="32"/>
      <c r="XEZ231" s="32"/>
      <c r="XFA231" s="32"/>
      <c r="XFB231" s="32"/>
      <c r="XFC231" s="32"/>
      <c r="XFD231" s="32"/>
    </row>
    <row r="232" s="40" customFormat="true" ht="18.75" hidden="false" customHeight="true" outlineLevel="0" collapsed="false">
      <c r="A232" s="42" t="s">
        <v>958</v>
      </c>
      <c r="B232" s="37" t="s">
        <v>188</v>
      </c>
      <c r="C232" s="42"/>
      <c r="D232" s="38" t="s">
        <v>189</v>
      </c>
      <c r="E232" s="38" t="s">
        <v>959</v>
      </c>
      <c r="F232" s="38"/>
      <c r="G232" s="59" t="n">
        <v>39247</v>
      </c>
      <c r="H232" s="39"/>
      <c r="I232" s="39"/>
      <c r="J232" s="60"/>
      <c r="K232" s="64"/>
      <c r="L232" s="60"/>
      <c r="M232" s="60"/>
      <c r="N232" s="60"/>
      <c r="O232" s="60"/>
      <c r="P232" s="60"/>
      <c r="Q232" s="60"/>
      <c r="R232" s="60"/>
      <c r="S232" s="60"/>
      <c r="T232" s="60"/>
      <c r="U232" s="61" t="n">
        <v>608.12</v>
      </c>
      <c r="V232" s="62"/>
      <c r="W232" s="62"/>
      <c r="X232" s="62"/>
      <c r="Y232" s="62"/>
      <c r="Z232" s="62"/>
      <c r="AA232" s="60"/>
      <c r="XEN232" s="32"/>
      <c r="XEO232" s="32"/>
      <c r="XEP232" s="32"/>
      <c r="XEQ232" s="32"/>
      <c r="XER232" s="32"/>
      <c r="XES232" s="32"/>
      <c r="XET232" s="32"/>
      <c r="XEU232" s="32"/>
      <c r="XEV232" s="32"/>
      <c r="XEW232" s="32"/>
      <c r="XEX232" s="32"/>
      <c r="XEY232" s="32"/>
      <c r="XEZ232" s="32"/>
      <c r="XFA232" s="32"/>
      <c r="XFB232" s="32"/>
      <c r="XFC232" s="32"/>
      <c r="XFD232" s="32"/>
    </row>
    <row r="233" s="40" customFormat="true" ht="18.75" hidden="false" customHeight="true" outlineLevel="0" collapsed="false">
      <c r="A233" s="42" t="s">
        <v>960</v>
      </c>
      <c r="B233" s="39" t="s">
        <v>188</v>
      </c>
      <c r="C233" s="42"/>
      <c r="D233" s="38" t="s">
        <v>189</v>
      </c>
      <c r="E233" s="38" t="s">
        <v>961</v>
      </c>
      <c r="F233" s="38"/>
      <c r="G233" s="59" t="n">
        <v>37877</v>
      </c>
      <c r="H233" s="39"/>
      <c r="I233" s="39"/>
      <c r="J233" s="60"/>
      <c r="K233" s="60"/>
      <c r="L233" s="60"/>
      <c r="M233" s="60"/>
      <c r="N233" s="60"/>
      <c r="O233" s="60"/>
      <c r="P233" s="60"/>
      <c r="Q233" s="60"/>
      <c r="R233" s="60"/>
      <c r="S233" s="60"/>
      <c r="T233" s="60"/>
      <c r="U233" s="61" t="n">
        <v>608.12</v>
      </c>
      <c r="V233" s="62"/>
      <c r="W233" s="62"/>
      <c r="X233" s="62"/>
      <c r="Y233" s="62"/>
      <c r="Z233" s="62"/>
      <c r="AA233" s="60"/>
      <c r="XEN233" s="32"/>
      <c r="XEO233" s="32"/>
      <c r="XEP233" s="32"/>
      <c r="XEQ233" s="32"/>
      <c r="XER233" s="32"/>
      <c r="XES233" s="32"/>
      <c r="XET233" s="32"/>
      <c r="XEU233" s="32"/>
      <c r="XEV233" s="32"/>
      <c r="XEW233" s="32"/>
      <c r="XEX233" s="32"/>
      <c r="XEY233" s="32"/>
      <c r="XEZ233" s="32"/>
      <c r="XFA233" s="32"/>
      <c r="XFB233" s="32"/>
      <c r="XFC233" s="32"/>
      <c r="XFD233" s="32"/>
    </row>
    <row r="234" s="40" customFormat="true" ht="18.75" hidden="false" customHeight="true" outlineLevel="0" collapsed="false">
      <c r="A234" s="77" t="s">
        <v>962</v>
      </c>
      <c r="B234" s="43" t="s">
        <v>355</v>
      </c>
      <c r="C234" s="38"/>
      <c r="D234" s="43" t="s">
        <v>356</v>
      </c>
      <c r="E234" s="43" t="s">
        <v>963</v>
      </c>
      <c r="F234" s="39"/>
      <c r="G234" s="59" t="n">
        <v>31180</v>
      </c>
      <c r="H234" s="42"/>
      <c r="I234" s="42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62" t="n">
        <v>608.12</v>
      </c>
      <c r="V234" s="39"/>
      <c r="W234" s="39"/>
      <c r="X234" s="39"/>
      <c r="Y234" s="39"/>
      <c r="Z234" s="62"/>
      <c r="AA234" s="39"/>
      <c r="XEN234" s="32"/>
      <c r="XEO234" s="32"/>
      <c r="XEP234" s="32"/>
      <c r="XEQ234" s="32"/>
      <c r="XER234" s="32"/>
      <c r="XES234" s="32"/>
      <c r="XET234" s="32"/>
      <c r="XEU234" s="32"/>
      <c r="XEV234" s="32"/>
      <c r="XEW234" s="32"/>
      <c r="XEX234" s="32"/>
      <c r="XEY234" s="32"/>
      <c r="XEZ234" s="32"/>
      <c r="XFA234" s="32"/>
      <c r="XFB234" s="32"/>
      <c r="XFC234" s="32"/>
      <c r="XFD234" s="32"/>
    </row>
    <row r="235" s="40" customFormat="true" ht="18.75" hidden="false" customHeight="true" outlineLevel="0" collapsed="false">
      <c r="A235" s="42" t="s">
        <v>964</v>
      </c>
      <c r="B235" s="37" t="s">
        <v>196</v>
      </c>
      <c r="C235" s="42"/>
      <c r="D235" s="38" t="s">
        <v>197</v>
      </c>
      <c r="E235" s="38" t="s">
        <v>965</v>
      </c>
      <c r="F235" s="38"/>
      <c r="G235" s="59" t="n">
        <v>27630</v>
      </c>
      <c r="H235" s="39"/>
      <c r="I235" s="39"/>
      <c r="J235" s="60"/>
      <c r="K235" s="60"/>
      <c r="L235" s="60"/>
      <c r="M235" s="60"/>
      <c r="N235" s="60"/>
      <c r="O235" s="60"/>
      <c r="P235" s="60"/>
      <c r="Q235" s="60"/>
      <c r="R235" s="60"/>
      <c r="S235" s="60"/>
      <c r="T235" s="60"/>
      <c r="U235" s="61" t="n">
        <v>608.12</v>
      </c>
      <c r="V235" s="62"/>
      <c r="W235" s="62"/>
      <c r="X235" s="62"/>
      <c r="Y235" s="62"/>
      <c r="Z235" s="62"/>
      <c r="AA235" s="60"/>
      <c r="XEN235" s="32"/>
      <c r="XEO235" s="32"/>
      <c r="XEP235" s="32"/>
      <c r="XEQ235" s="32"/>
      <c r="XER235" s="32"/>
      <c r="XES235" s="32"/>
      <c r="XET235" s="32"/>
      <c r="XEU235" s="32"/>
      <c r="XEV235" s="32"/>
      <c r="XEW235" s="32"/>
      <c r="XEX235" s="32"/>
      <c r="XEY235" s="32"/>
      <c r="XEZ235" s="32"/>
      <c r="XFA235" s="32"/>
      <c r="XFB235" s="32"/>
      <c r="XFC235" s="32"/>
      <c r="XFD235" s="32"/>
    </row>
    <row r="236" s="40" customFormat="true" ht="18.75" hidden="false" customHeight="true" outlineLevel="0" collapsed="false">
      <c r="A236" s="42" t="s">
        <v>966</v>
      </c>
      <c r="B236" s="42" t="s">
        <v>268</v>
      </c>
      <c r="C236" s="42"/>
      <c r="D236" s="38" t="s">
        <v>269</v>
      </c>
      <c r="E236" s="38" t="s">
        <v>967</v>
      </c>
      <c r="F236" s="38"/>
      <c r="G236" s="59" t="s">
        <v>968</v>
      </c>
      <c r="H236" s="39"/>
      <c r="I236" s="39"/>
      <c r="J236" s="60"/>
      <c r="K236" s="60"/>
      <c r="L236" s="60"/>
      <c r="M236" s="60"/>
      <c r="N236" s="60"/>
      <c r="O236" s="60"/>
      <c r="P236" s="60"/>
      <c r="Q236" s="60"/>
      <c r="R236" s="60"/>
      <c r="S236" s="60"/>
      <c r="T236" s="60"/>
      <c r="U236" s="61"/>
      <c r="V236" s="62"/>
      <c r="W236" s="62"/>
      <c r="X236" s="61" t="n">
        <v>608.12</v>
      </c>
      <c r="Y236" s="61"/>
      <c r="Z236" s="61"/>
      <c r="AA236" s="60"/>
      <c r="XEN236" s="32"/>
      <c r="XEO236" s="32"/>
      <c r="XEP236" s="32"/>
      <c r="XEQ236" s="32"/>
      <c r="XER236" s="32"/>
      <c r="XES236" s="32"/>
      <c r="XET236" s="32"/>
      <c r="XEU236" s="32"/>
      <c r="XEV236" s="32"/>
      <c r="XEW236" s="32"/>
      <c r="XEX236" s="32"/>
      <c r="XEY236" s="32"/>
      <c r="XEZ236" s="32"/>
      <c r="XFA236" s="32"/>
      <c r="XFB236" s="32"/>
      <c r="XFC236" s="32"/>
      <c r="XFD236" s="32"/>
    </row>
    <row r="237" s="40" customFormat="true" ht="18.75" hidden="false" customHeight="true" outlineLevel="0" collapsed="false">
      <c r="A237" s="42" t="s">
        <v>969</v>
      </c>
      <c r="B237" s="37" t="s">
        <v>172</v>
      </c>
      <c r="C237" s="42"/>
      <c r="D237" s="38" t="s">
        <v>173</v>
      </c>
      <c r="E237" s="38" t="s">
        <v>970</v>
      </c>
      <c r="F237" s="38"/>
      <c r="G237" s="59" t="n">
        <v>26893</v>
      </c>
      <c r="H237" s="39"/>
      <c r="I237" s="39"/>
      <c r="J237" s="60"/>
      <c r="K237" s="60"/>
      <c r="L237" s="60"/>
      <c r="M237" s="60"/>
      <c r="N237" s="60"/>
      <c r="O237" s="60"/>
      <c r="P237" s="60"/>
      <c r="Q237" s="60"/>
      <c r="R237" s="60"/>
      <c r="S237" s="60"/>
      <c r="T237" s="60"/>
      <c r="U237" s="61" t="n">
        <v>608.12</v>
      </c>
      <c r="V237" s="62"/>
      <c r="W237" s="62"/>
      <c r="X237" s="62"/>
      <c r="Y237" s="62"/>
      <c r="Z237" s="62"/>
      <c r="AA237" s="60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O237" s="63"/>
      <c r="BQ237" s="63"/>
      <c r="BS237" s="63"/>
      <c r="XEN237" s="32"/>
      <c r="XEO237" s="32"/>
      <c r="XEP237" s="32"/>
      <c r="XEQ237" s="32"/>
      <c r="XER237" s="32"/>
      <c r="XES237" s="32"/>
      <c r="XET237" s="32"/>
      <c r="XEU237" s="32"/>
      <c r="XEV237" s="32"/>
      <c r="XEW237" s="32"/>
      <c r="XEX237" s="32"/>
      <c r="XEY237" s="32"/>
      <c r="XEZ237" s="32"/>
      <c r="XFA237" s="32"/>
      <c r="XFB237" s="32"/>
      <c r="XFC237" s="32"/>
      <c r="XFD237" s="32"/>
    </row>
    <row r="238" s="40" customFormat="true" ht="18.75" hidden="false" customHeight="true" outlineLevel="0" collapsed="false">
      <c r="A238" s="42" t="s">
        <v>971</v>
      </c>
      <c r="B238" s="39" t="s">
        <v>226</v>
      </c>
      <c r="C238" s="42"/>
      <c r="D238" s="38" t="s">
        <v>227</v>
      </c>
      <c r="E238" s="38" t="s">
        <v>972</v>
      </c>
      <c r="F238" s="38"/>
      <c r="G238" s="59" t="n">
        <v>35833</v>
      </c>
      <c r="H238" s="39"/>
      <c r="I238" s="39"/>
      <c r="J238" s="60"/>
      <c r="K238" s="60"/>
      <c r="L238" s="60"/>
      <c r="M238" s="60"/>
      <c r="N238" s="60"/>
      <c r="O238" s="60"/>
      <c r="P238" s="60"/>
      <c r="Q238" s="60"/>
      <c r="R238" s="60"/>
      <c r="S238" s="60"/>
      <c r="T238" s="60"/>
      <c r="U238" s="61" t="n">
        <v>517.28</v>
      </c>
      <c r="V238" s="62"/>
      <c r="W238" s="62"/>
      <c r="X238" s="62"/>
      <c r="Y238" s="62"/>
      <c r="Z238" s="62"/>
      <c r="AA238" s="60"/>
      <c r="XEN238" s="32"/>
      <c r="XEO238" s="32"/>
      <c r="XEP238" s="32"/>
      <c r="XEQ238" s="32"/>
      <c r="XER238" s="32"/>
      <c r="XES238" s="32"/>
      <c r="XET238" s="32"/>
      <c r="XEU238" s="32"/>
      <c r="XEV238" s="32"/>
      <c r="XEW238" s="32"/>
      <c r="XEX238" s="32"/>
      <c r="XEY238" s="32"/>
      <c r="XEZ238" s="32"/>
      <c r="XFA238" s="32"/>
      <c r="XFB238" s="32"/>
      <c r="XFC238" s="32"/>
      <c r="XFD238" s="32"/>
    </row>
    <row r="239" s="40" customFormat="true" ht="18.75" hidden="false" customHeight="true" outlineLevel="0" collapsed="false">
      <c r="A239" s="42" t="s">
        <v>973</v>
      </c>
      <c r="B239" s="37" t="s">
        <v>190</v>
      </c>
      <c r="C239" s="42"/>
      <c r="D239" s="38" t="s">
        <v>191</v>
      </c>
      <c r="E239" s="38" t="s">
        <v>974</v>
      </c>
      <c r="F239" s="38"/>
      <c r="G239" s="59" t="s">
        <v>975</v>
      </c>
      <c r="H239" s="39"/>
      <c r="I239" s="39"/>
      <c r="J239" s="60"/>
      <c r="K239" s="60"/>
      <c r="L239" s="60"/>
      <c r="M239" s="60"/>
      <c r="N239" s="60"/>
      <c r="O239" s="60"/>
      <c r="P239" s="60"/>
      <c r="Q239" s="60"/>
      <c r="R239" s="60"/>
      <c r="S239" s="60"/>
      <c r="T239" s="60"/>
      <c r="U239" s="61" t="n">
        <v>534.46</v>
      </c>
      <c r="V239" s="62"/>
      <c r="W239" s="62"/>
      <c r="X239" s="62"/>
      <c r="Y239" s="62"/>
      <c r="Z239" s="62"/>
      <c r="AA239" s="60"/>
      <c r="XEN239" s="32"/>
      <c r="XEO239" s="32"/>
      <c r="XEP239" s="32"/>
      <c r="XEQ239" s="32"/>
      <c r="XER239" s="32"/>
      <c r="XES239" s="32"/>
      <c r="XET239" s="32"/>
      <c r="XEU239" s="32"/>
      <c r="XEV239" s="32"/>
      <c r="XEW239" s="32"/>
      <c r="XEX239" s="32"/>
      <c r="XEY239" s="32"/>
      <c r="XEZ239" s="32"/>
      <c r="XFA239" s="32"/>
      <c r="XFB239" s="32"/>
      <c r="XFC239" s="32"/>
      <c r="XFD239" s="32"/>
    </row>
    <row r="240" s="40" customFormat="true" ht="18.75" hidden="false" customHeight="true" outlineLevel="0" collapsed="false">
      <c r="A240" s="42" t="s">
        <v>976</v>
      </c>
      <c r="B240" s="42" t="s">
        <v>162</v>
      </c>
      <c r="C240" s="42"/>
      <c r="D240" s="38" t="s">
        <v>163</v>
      </c>
      <c r="E240" s="38" t="s">
        <v>977</v>
      </c>
      <c r="F240" s="38"/>
      <c r="G240" s="59" t="n">
        <v>24751</v>
      </c>
      <c r="H240" s="39"/>
      <c r="I240" s="39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T240" s="60"/>
      <c r="U240" s="61" t="n">
        <v>608.12</v>
      </c>
      <c r="V240" s="62"/>
      <c r="W240" s="62"/>
      <c r="X240" s="62"/>
      <c r="Y240" s="62"/>
      <c r="Z240" s="62"/>
      <c r="AA240" s="60"/>
      <c r="XEN240" s="32"/>
      <c r="XEO240" s="32"/>
      <c r="XEP240" s="32"/>
      <c r="XEQ240" s="32"/>
      <c r="XER240" s="32"/>
      <c r="XES240" s="32"/>
      <c r="XET240" s="32"/>
      <c r="XEU240" s="32"/>
      <c r="XEV240" s="32"/>
      <c r="XEW240" s="32"/>
      <c r="XEX240" s="32"/>
      <c r="XEY240" s="32"/>
      <c r="XEZ240" s="32"/>
      <c r="XFA240" s="32"/>
      <c r="XFB240" s="32"/>
      <c r="XFC240" s="32"/>
      <c r="XFD240" s="32"/>
    </row>
    <row r="241" s="40" customFormat="true" ht="18.75" hidden="false" customHeight="true" outlineLevel="0" collapsed="false">
      <c r="A241" s="42" t="s">
        <v>978</v>
      </c>
      <c r="B241" s="42" t="s">
        <v>162</v>
      </c>
      <c r="C241" s="38"/>
      <c r="D241" s="38" t="s">
        <v>163</v>
      </c>
      <c r="E241" s="38" t="s">
        <v>979</v>
      </c>
      <c r="F241" s="38"/>
      <c r="G241" s="59" t="n">
        <v>27390</v>
      </c>
      <c r="H241" s="39"/>
      <c r="I241" s="39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T241" s="60"/>
      <c r="U241" s="61" t="n">
        <v>608.12</v>
      </c>
      <c r="V241" s="62"/>
      <c r="W241" s="62"/>
      <c r="X241" s="62"/>
      <c r="Y241" s="62"/>
      <c r="Z241" s="62"/>
      <c r="AA241" s="60"/>
      <c r="XEN241" s="32"/>
      <c r="XEO241" s="32"/>
      <c r="XEP241" s="32"/>
      <c r="XEQ241" s="32"/>
      <c r="XER241" s="32"/>
      <c r="XES241" s="32"/>
      <c r="XET241" s="32"/>
      <c r="XEU241" s="32"/>
      <c r="XEV241" s="32"/>
      <c r="XEW241" s="32"/>
      <c r="XEX241" s="32"/>
      <c r="XEY241" s="32"/>
      <c r="XEZ241" s="32"/>
      <c r="XFA241" s="32"/>
      <c r="XFB241" s="32"/>
      <c r="XFC241" s="32"/>
      <c r="XFD241" s="32"/>
    </row>
    <row r="242" s="40" customFormat="true" ht="18.75" hidden="false" customHeight="true" outlineLevel="0" collapsed="false">
      <c r="A242" s="42" t="s">
        <v>980</v>
      </c>
      <c r="B242" s="42" t="s">
        <v>162</v>
      </c>
      <c r="C242" s="42"/>
      <c r="D242" s="38" t="s">
        <v>163</v>
      </c>
      <c r="E242" s="38" t="s">
        <v>981</v>
      </c>
      <c r="F242" s="38"/>
      <c r="G242" s="59" t="n">
        <v>22639</v>
      </c>
      <c r="H242" s="39"/>
      <c r="I242" s="39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1" t="n">
        <v>608.12</v>
      </c>
      <c r="V242" s="62"/>
      <c r="W242" s="62"/>
      <c r="X242" s="62"/>
      <c r="Y242" s="62"/>
      <c r="Z242" s="62"/>
      <c r="AA242" s="60"/>
      <c r="XEN242" s="32"/>
      <c r="XEO242" s="32"/>
      <c r="XEP242" s="32"/>
      <c r="XEQ242" s="32"/>
      <c r="XER242" s="32"/>
      <c r="XES242" s="32"/>
      <c r="XET242" s="32"/>
      <c r="XEU242" s="32"/>
      <c r="XEV242" s="32"/>
      <c r="XEW242" s="32"/>
      <c r="XEX242" s="32"/>
      <c r="XEY242" s="32"/>
      <c r="XEZ242" s="32"/>
      <c r="XFA242" s="32"/>
      <c r="XFB242" s="32"/>
      <c r="XFC242" s="32"/>
      <c r="XFD242" s="32"/>
    </row>
    <row r="243" s="40" customFormat="true" ht="18.75" hidden="false" customHeight="true" outlineLevel="0" collapsed="false">
      <c r="A243" s="42" t="s">
        <v>982</v>
      </c>
      <c r="B243" s="42" t="s">
        <v>162</v>
      </c>
      <c r="C243" s="38"/>
      <c r="D243" s="38" t="s">
        <v>163</v>
      </c>
      <c r="E243" s="38" t="s">
        <v>983</v>
      </c>
      <c r="F243" s="38"/>
      <c r="G243" s="59" t="n">
        <v>26168</v>
      </c>
      <c r="H243" s="39"/>
      <c r="I243" s="39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1" t="n">
        <v>608.12</v>
      </c>
      <c r="V243" s="62"/>
      <c r="W243" s="62"/>
      <c r="X243" s="62"/>
      <c r="Y243" s="62"/>
      <c r="Z243" s="62"/>
      <c r="AA243" s="60"/>
      <c r="XEN243" s="32"/>
      <c r="XEO243" s="32"/>
      <c r="XEP243" s="32"/>
      <c r="XEQ243" s="32"/>
      <c r="XER243" s="32"/>
      <c r="XES243" s="32"/>
      <c r="XET243" s="32"/>
      <c r="XEU243" s="32"/>
      <c r="XEV243" s="32"/>
      <c r="XEW243" s="32"/>
      <c r="XEX243" s="32"/>
      <c r="XEY243" s="32"/>
      <c r="XEZ243" s="32"/>
      <c r="XFA243" s="32"/>
      <c r="XFB243" s="32"/>
      <c r="XFC243" s="32"/>
      <c r="XFD243" s="32"/>
    </row>
    <row r="244" s="40" customFormat="true" ht="18.75" hidden="false" customHeight="true" outlineLevel="0" collapsed="false">
      <c r="A244" s="42" t="s">
        <v>984</v>
      </c>
      <c r="B244" s="42" t="s">
        <v>162</v>
      </c>
      <c r="C244" s="42"/>
      <c r="D244" s="38" t="s">
        <v>163</v>
      </c>
      <c r="E244" s="38" t="s">
        <v>985</v>
      </c>
      <c r="F244" s="38"/>
      <c r="G244" s="59" t="n">
        <v>30785</v>
      </c>
      <c r="H244" s="39"/>
      <c r="I244" s="39"/>
      <c r="J244" s="60"/>
      <c r="K244" s="60"/>
      <c r="L244" s="60"/>
      <c r="M244" s="60"/>
      <c r="N244" s="60"/>
      <c r="O244" s="60"/>
      <c r="P244" s="60"/>
      <c r="Q244" s="60"/>
      <c r="R244" s="60"/>
      <c r="S244" s="60"/>
      <c r="T244" s="60"/>
      <c r="U244" s="61" t="n">
        <v>608.12</v>
      </c>
      <c r="V244" s="62"/>
      <c r="W244" s="62"/>
      <c r="X244" s="62"/>
      <c r="Y244" s="62"/>
      <c r="Z244" s="62"/>
      <c r="AA244" s="60"/>
      <c r="XEN244" s="32"/>
      <c r="XEO244" s="32"/>
      <c r="XEP244" s="32"/>
      <c r="XEQ244" s="32"/>
      <c r="XER244" s="32"/>
      <c r="XES244" s="32"/>
      <c r="XET244" s="32"/>
      <c r="XEU244" s="32"/>
      <c r="XEV244" s="32"/>
      <c r="XEW244" s="32"/>
      <c r="XEX244" s="32"/>
      <c r="XEY244" s="32"/>
      <c r="XEZ244" s="32"/>
      <c r="XFA244" s="32"/>
      <c r="XFB244" s="32"/>
      <c r="XFC244" s="32"/>
      <c r="XFD244" s="32"/>
    </row>
    <row r="245" s="40" customFormat="true" ht="18.75" hidden="false" customHeight="true" outlineLevel="0" collapsed="false">
      <c r="A245" s="42" t="s">
        <v>986</v>
      </c>
      <c r="B245" s="39" t="s">
        <v>216</v>
      </c>
      <c r="C245" s="42"/>
      <c r="D245" s="38" t="s">
        <v>217</v>
      </c>
      <c r="E245" s="38" t="s">
        <v>987</v>
      </c>
      <c r="F245" s="38"/>
      <c r="G245" s="59" t="n">
        <v>29877</v>
      </c>
      <c r="H245" s="39"/>
      <c r="I245" s="39"/>
      <c r="J245" s="60"/>
      <c r="K245" s="60"/>
      <c r="L245" s="60"/>
      <c r="M245" s="60"/>
      <c r="N245" s="60"/>
      <c r="O245" s="60"/>
      <c r="P245" s="60"/>
      <c r="Q245" s="60"/>
      <c r="R245" s="60"/>
      <c r="S245" s="60"/>
      <c r="T245" s="60"/>
      <c r="U245" s="61" t="n">
        <v>517.28</v>
      </c>
      <c r="V245" s="62"/>
      <c r="W245" s="62"/>
      <c r="X245" s="62"/>
      <c r="Y245" s="62"/>
      <c r="Z245" s="62"/>
      <c r="AA245" s="60"/>
      <c r="XEN245" s="32"/>
      <c r="XEO245" s="32"/>
      <c r="XEP245" s="32"/>
      <c r="XEQ245" s="32"/>
      <c r="XER245" s="32"/>
      <c r="XES245" s="32"/>
      <c r="XET245" s="32"/>
      <c r="XEU245" s="32"/>
      <c r="XEV245" s="32"/>
      <c r="XEW245" s="32"/>
      <c r="XEX245" s="32"/>
      <c r="XEY245" s="32"/>
      <c r="XEZ245" s="32"/>
      <c r="XFA245" s="32"/>
      <c r="XFB245" s="32"/>
      <c r="XFC245" s="32"/>
      <c r="XFD245" s="32"/>
    </row>
    <row r="246" s="40" customFormat="true" ht="18.75" hidden="false" customHeight="true" outlineLevel="0" collapsed="false">
      <c r="A246" s="42" t="s">
        <v>988</v>
      </c>
      <c r="B246" s="37" t="s">
        <v>166</v>
      </c>
      <c r="C246" s="38"/>
      <c r="D246" s="38" t="s">
        <v>167</v>
      </c>
      <c r="E246" s="38" t="s">
        <v>989</v>
      </c>
      <c r="F246" s="38"/>
      <c r="G246" s="59" t="n">
        <v>28461</v>
      </c>
      <c r="H246" s="39"/>
      <c r="I246" s="39"/>
      <c r="J246" s="60"/>
      <c r="K246" s="60"/>
      <c r="L246" s="60"/>
      <c r="M246" s="60"/>
      <c r="N246" s="60"/>
      <c r="O246" s="60"/>
      <c r="P246" s="60"/>
      <c r="Q246" s="60"/>
      <c r="R246" s="60"/>
      <c r="S246" s="60"/>
      <c r="T246" s="60"/>
      <c r="U246" s="61" t="n">
        <v>517.28</v>
      </c>
      <c r="V246" s="62"/>
      <c r="W246" s="62"/>
      <c r="X246" s="62"/>
      <c r="Y246" s="62"/>
      <c r="Z246" s="62"/>
      <c r="AA246" s="60"/>
      <c r="XEN246" s="32"/>
      <c r="XEO246" s="32"/>
      <c r="XEP246" s="32"/>
      <c r="XEQ246" s="32"/>
      <c r="XER246" s="32"/>
      <c r="XES246" s="32"/>
      <c r="XET246" s="32"/>
      <c r="XEU246" s="32"/>
      <c r="XEV246" s="32"/>
      <c r="XEW246" s="32"/>
      <c r="XEX246" s="32"/>
      <c r="XEY246" s="32"/>
      <c r="XEZ246" s="32"/>
      <c r="XFA246" s="32"/>
      <c r="XFB246" s="32"/>
      <c r="XFC246" s="32"/>
      <c r="XFD246" s="32"/>
    </row>
    <row r="247" s="40" customFormat="true" ht="18.75" hidden="false" customHeight="true" outlineLevel="0" collapsed="false">
      <c r="A247" s="42" t="s">
        <v>990</v>
      </c>
      <c r="B247" s="37" t="n">
        <v>67651877000113</v>
      </c>
      <c r="C247" s="42"/>
      <c r="D247" s="38" t="s">
        <v>158</v>
      </c>
      <c r="E247" s="38" t="s">
        <v>991</v>
      </c>
      <c r="F247" s="38"/>
      <c r="G247" s="59" t="s">
        <v>992</v>
      </c>
      <c r="H247" s="39"/>
      <c r="I247" s="39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1" t="n">
        <v>548.21</v>
      </c>
      <c r="V247" s="62"/>
      <c r="W247" s="62"/>
      <c r="X247" s="62"/>
      <c r="Y247" s="62"/>
      <c r="Z247" s="62"/>
      <c r="AA247" s="60"/>
      <c r="XEN247" s="32"/>
      <c r="XEO247" s="32"/>
      <c r="XEP247" s="32"/>
      <c r="XEQ247" s="32"/>
      <c r="XER247" s="32"/>
      <c r="XES247" s="32"/>
      <c r="XET247" s="32"/>
      <c r="XEU247" s="32"/>
      <c r="XEV247" s="32"/>
      <c r="XEW247" s="32"/>
      <c r="XEX247" s="32"/>
      <c r="XEY247" s="32"/>
      <c r="XEZ247" s="32"/>
      <c r="XFA247" s="32"/>
      <c r="XFB247" s="32"/>
      <c r="XFC247" s="32"/>
      <c r="XFD247" s="32"/>
    </row>
    <row r="248" s="40" customFormat="true" ht="18.75" hidden="false" customHeight="true" outlineLevel="0" collapsed="false">
      <c r="A248" s="42" t="s">
        <v>993</v>
      </c>
      <c r="B248" s="37" t="n">
        <v>67651877000113</v>
      </c>
      <c r="C248" s="42"/>
      <c r="D248" s="38" t="s">
        <v>158</v>
      </c>
      <c r="E248" s="38" t="s">
        <v>994</v>
      </c>
      <c r="F248" s="38"/>
      <c r="G248" s="59" t="n">
        <v>38497</v>
      </c>
      <c r="H248" s="39"/>
      <c r="I248" s="39"/>
      <c r="J248" s="60"/>
      <c r="K248" s="60"/>
      <c r="L248" s="60"/>
      <c r="M248" s="60"/>
      <c r="N248" s="60"/>
      <c r="O248" s="60"/>
      <c r="P248" s="60"/>
      <c r="Q248" s="60"/>
      <c r="R248" s="60"/>
      <c r="S248" s="60"/>
      <c r="T248" s="60"/>
      <c r="U248" s="61" t="n">
        <v>548.21</v>
      </c>
      <c r="V248" s="62"/>
      <c r="W248" s="62"/>
      <c r="X248" s="62"/>
      <c r="Y248" s="62"/>
      <c r="Z248" s="62"/>
      <c r="AA248" s="60"/>
      <c r="XEN248" s="32"/>
      <c r="XEO248" s="32"/>
      <c r="XEP248" s="32"/>
      <c r="XEQ248" s="32"/>
      <c r="XER248" s="32"/>
      <c r="XES248" s="32"/>
      <c r="XET248" s="32"/>
      <c r="XEU248" s="32"/>
      <c r="XEV248" s="32"/>
      <c r="XEW248" s="32"/>
      <c r="XEX248" s="32"/>
      <c r="XEY248" s="32"/>
      <c r="XEZ248" s="32"/>
      <c r="XFA248" s="32"/>
      <c r="XFB248" s="32"/>
      <c r="XFC248" s="32"/>
      <c r="XFD248" s="32"/>
    </row>
    <row r="249" s="40" customFormat="true" ht="18.75" hidden="false" customHeight="true" outlineLevel="0" collapsed="false">
      <c r="A249" s="42" t="s">
        <v>995</v>
      </c>
      <c r="B249" s="37" t="n">
        <v>67651877000113</v>
      </c>
      <c r="C249" s="42"/>
      <c r="D249" s="38" t="s">
        <v>158</v>
      </c>
      <c r="E249" s="38" t="s">
        <v>996</v>
      </c>
      <c r="F249" s="38"/>
      <c r="G249" s="59" t="s">
        <v>997</v>
      </c>
      <c r="H249" s="39"/>
      <c r="I249" s="39"/>
      <c r="J249" s="60"/>
      <c r="K249" s="60"/>
      <c r="L249" s="60"/>
      <c r="M249" s="60"/>
      <c r="N249" s="60"/>
      <c r="O249" s="60"/>
      <c r="P249" s="60"/>
      <c r="Q249" s="60"/>
      <c r="R249" s="60"/>
      <c r="S249" s="60"/>
      <c r="T249" s="60"/>
      <c r="U249" s="61" t="n">
        <v>548.21</v>
      </c>
      <c r="V249" s="62"/>
      <c r="W249" s="62"/>
      <c r="X249" s="62"/>
      <c r="Y249" s="62"/>
      <c r="Z249" s="62"/>
      <c r="AA249" s="60"/>
      <c r="XEN249" s="32"/>
      <c r="XEO249" s="32"/>
      <c r="XEP249" s="32"/>
      <c r="XEQ249" s="32"/>
      <c r="XER249" s="32"/>
      <c r="XES249" s="32"/>
      <c r="XET249" s="32"/>
      <c r="XEU249" s="32"/>
      <c r="XEV249" s="32"/>
      <c r="XEW249" s="32"/>
      <c r="XEX249" s="32"/>
      <c r="XEY249" s="32"/>
      <c r="XEZ249" s="32"/>
      <c r="XFA249" s="32"/>
      <c r="XFB249" s="32"/>
      <c r="XFC249" s="32"/>
      <c r="XFD249" s="32"/>
    </row>
    <row r="250" s="40" customFormat="true" ht="18.75" hidden="false" customHeight="true" outlineLevel="0" collapsed="false">
      <c r="A250" s="42" t="s">
        <v>998</v>
      </c>
      <c r="B250" s="37" t="n">
        <v>67651877000113</v>
      </c>
      <c r="C250" s="42"/>
      <c r="D250" s="38" t="s">
        <v>158</v>
      </c>
      <c r="E250" s="38" t="s">
        <v>999</v>
      </c>
      <c r="F250" s="38"/>
      <c r="G250" s="59" t="n">
        <v>28527</v>
      </c>
      <c r="H250" s="39"/>
      <c r="I250" s="39"/>
      <c r="J250" s="60"/>
      <c r="K250" s="60"/>
      <c r="L250" s="60"/>
      <c r="M250" s="60"/>
      <c r="N250" s="60"/>
      <c r="O250" s="60"/>
      <c r="P250" s="60"/>
      <c r="Q250" s="60"/>
      <c r="R250" s="60"/>
      <c r="S250" s="60"/>
      <c r="T250" s="60"/>
      <c r="U250" s="61" t="n">
        <v>548.21</v>
      </c>
      <c r="V250" s="62"/>
      <c r="W250" s="62"/>
      <c r="X250" s="62"/>
      <c r="Y250" s="62"/>
      <c r="Z250" s="62"/>
      <c r="AA250" s="60"/>
      <c r="XEN250" s="32"/>
      <c r="XEO250" s="32"/>
      <c r="XEP250" s="32"/>
      <c r="XEQ250" s="32"/>
      <c r="XER250" s="32"/>
      <c r="XES250" s="32"/>
      <c r="XET250" s="32"/>
      <c r="XEU250" s="32"/>
      <c r="XEV250" s="32"/>
      <c r="XEW250" s="32"/>
      <c r="XEX250" s="32"/>
      <c r="XEY250" s="32"/>
      <c r="XEZ250" s="32"/>
      <c r="XFA250" s="32"/>
      <c r="XFB250" s="32"/>
      <c r="XFC250" s="32"/>
      <c r="XFD250" s="32"/>
    </row>
    <row r="251" s="40" customFormat="true" ht="18.75" hidden="false" customHeight="true" outlineLevel="0" collapsed="false">
      <c r="A251" s="42" t="s">
        <v>1000</v>
      </c>
      <c r="B251" s="37" t="n">
        <v>67651877000113</v>
      </c>
      <c r="C251" s="42"/>
      <c r="D251" s="38" t="s">
        <v>158</v>
      </c>
      <c r="E251" s="38" t="s">
        <v>1001</v>
      </c>
      <c r="F251" s="38"/>
      <c r="G251" s="59" t="n">
        <v>32534</v>
      </c>
      <c r="H251" s="39"/>
      <c r="I251" s="39"/>
      <c r="J251" s="60"/>
      <c r="K251" s="64"/>
      <c r="L251" s="60"/>
      <c r="M251" s="60"/>
      <c r="N251" s="60"/>
      <c r="O251" s="60"/>
      <c r="P251" s="60"/>
      <c r="Q251" s="60"/>
      <c r="R251" s="60"/>
      <c r="S251" s="60"/>
      <c r="T251" s="60"/>
      <c r="U251" s="61" t="n">
        <v>548.21</v>
      </c>
      <c r="V251" s="62"/>
      <c r="W251" s="62"/>
      <c r="X251" s="62"/>
      <c r="Y251" s="62"/>
      <c r="Z251" s="62"/>
      <c r="AA251" s="60"/>
      <c r="XEN251" s="32"/>
      <c r="XEO251" s="32"/>
      <c r="XEP251" s="32"/>
      <c r="XEQ251" s="32"/>
      <c r="XER251" s="32"/>
      <c r="XES251" s="32"/>
      <c r="XET251" s="32"/>
      <c r="XEU251" s="32"/>
      <c r="XEV251" s="32"/>
      <c r="XEW251" s="32"/>
      <c r="XEX251" s="32"/>
      <c r="XEY251" s="32"/>
      <c r="XEZ251" s="32"/>
      <c r="XFA251" s="32"/>
      <c r="XFB251" s="32"/>
      <c r="XFC251" s="32"/>
      <c r="XFD251" s="32"/>
    </row>
    <row r="252" s="40" customFormat="true" ht="18.75" hidden="false" customHeight="true" outlineLevel="0" collapsed="false">
      <c r="A252" s="42" t="s">
        <v>1002</v>
      </c>
      <c r="B252" s="39" t="s">
        <v>212</v>
      </c>
      <c r="C252" s="42"/>
      <c r="D252" s="38" t="s">
        <v>213</v>
      </c>
      <c r="E252" s="38" t="s">
        <v>1003</v>
      </c>
      <c r="F252" s="38"/>
      <c r="G252" s="59" t="s">
        <v>1004</v>
      </c>
      <c r="H252" s="39"/>
      <c r="I252" s="39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1" t="n">
        <v>896.06</v>
      </c>
      <c r="V252" s="62"/>
      <c r="W252" s="62"/>
      <c r="X252" s="62"/>
      <c r="Y252" s="62"/>
      <c r="Z252" s="62"/>
      <c r="AA252" s="60"/>
      <c r="XEN252" s="32"/>
      <c r="XEO252" s="32"/>
      <c r="XEP252" s="32"/>
      <c r="XEQ252" s="32"/>
      <c r="XER252" s="32"/>
      <c r="XES252" s="32"/>
      <c r="XET252" s="32"/>
      <c r="XEU252" s="32"/>
      <c r="XEV252" s="32"/>
      <c r="XEW252" s="32"/>
      <c r="XEX252" s="32"/>
      <c r="XEY252" s="32"/>
      <c r="XEZ252" s="32"/>
      <c r="XFA252" s="32"/>
      <c r="XFB252" s="32"/>
      <c r="XFC252" s="32"/>
      <c r="XFD252" s="32"/>
    </row>
    <row r="253" s="40" customFormat="true" ht="18.75" hidden="false" customHeight="true" outlineLevel="0" collapsed="false">
      <c r="A253" s="42" t="s">
        <v>1005</v>
      </c>
      <c r="B253" s="39" t="s">
        <v>212</v>
      </c>
      <c r="C253" s="42"/>
      <c r="D253" s="38" t="s">
        <v>213</v>
      </c>
      <c r="E253" s="38" t="s">
        <v>1006</v>
      </c>
      <c r="F253" s="38"/>
      <c r="G253" s="65" t="s">
        <v>1007</v>
      </c>
      <c r="H253" s="39"/>
      <c r="I253" s="39"/>
      <c r="J253" s="60"/>
      <c r="K253" s="60"/>
      <c r="L253" s="60"/>
      <c r="M253" s="60"/>
      <c r="N253" s="60"/>
      <c r="O253" s="60"/>
      <c r="P253" s="60"/>
      <c r="Q253" s="60"/>
      <c r="R253" s="60"/>
      <c r="S253" s="60"/>
      <c r="T253" s="60"/>
      <c r="U253" s="61" t="n">
        <v>896.06</v>
      </c>
      <c r="V253" s="62"/>
      <c r="W253" s="62"/>
      <c r="X253" s="62"/>
      <c r="Y253" s="62"/>
      <c r="Z253" s="62"/>
      <c r="AA253" s="60"/>
      <c r="XEN253" s="32"/>
      <c r="XEO253" s="32"/>
      <c r="XEP253" s="32"/>
      <c r="XEQ253" s="32"/>
      <c r="XER253" s="32"/>
      <c r="XES253" s="32"/>
      <c r="XET253" s="32"/>
      <c r="XEU253" s="32"/>
      <c r="XEV253" s="32"/>
      <c r="XEW253" s="32"/>
      <c r="XEX253" s="32"/>
      <c r="XEY253" s="32"/>
      <c r="XEZ253" s="32"/>
      <c r="XFA253" s="32"/>
      <c r="XFB253" s="32"/>
      <c r="XFC253" s="32"/>
      <c r="XFD253" s="32"/>
    </row>
    <row r="254" s="40" customFormat="true" ht="18.75" hidden="false" customHeight="true" outlineLevel="0" collapsed="false">
      <c r="A254" s="42" t="s">
        <v>1008</v>
      </c>
      <c r="B254" s="39" t="s">
        <v>212</v>
      </c>
      <c r="C254" s="42"/>
      <c r="D254" s="38" t="s">
        <v>213</v>
      </c>
      <c r="E254" s="38" t="s">
        <v>1009</v>
      </c>
      <c r="F254" s="38"/>
      <c r="G254" s="65" t="n">
        <v>30934</v>
      </c>
      <c r="H254" s="39"/>
      <c r="I254" s="39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60"/>
      <c r="U254" s="61" t="n">
        <v>896.06</v>
      </c>
      <c r="V254" s="62"/>
      <c r="W254" s="62"/>
      <c r="X254" s="62"/>
      <c r="Y254" s="62"/>
      <c r="Z254" s="62"/>
      <c r="AA254" s="60"/>
      <c r="XEN254" s="32"/>
      <c r="XEO254" s="32"/>
      <c r="XEP254" s="32"/>
      <c r="XEQ254" s="32"/>
      <c r="XER254" s="32"/>
      <c r="XES254" s="32"/>
      <c r="XET254" s="32"/>
      <c r="XEU254" s="32"/>
      <c r="XEV254" s="32"/>
      <c r="XEW254" s="32"/>
      <c r="XEX254" s="32"/>
      <c r="XEY254" s="32"/>
      <c r="XEZ254" s="32"/>
      <c r="XFA254" s="32"/>
      <c r="XFB254" s="32"/>
      <c r="XFC254" s="32"/>
      <c r="XFD254" s="32"/>
    </row>
    <row r="255" s="40" customFormat="true" ht="18.75" hidden="false" customHeight="true" outlineLevel="0" collapsed="false">
      <c r="A255" s="42" t="s">
        <v>1010</v>
      </c>
      <c r="B255" s="39" t="s">
        <v>214</v>
      </c>
      <c r="C255" s="42"/>
      <c r="D255" s="38" t="s">
        <v>215</v>
      </c>
      <c r="E255" s="38" t="s">
        <v>1011</v>
      </c>
      <c r="F255" s="38"/>
      <c r="G255" s="59" t="n">
        <v>25940</v>
      </c>
      <c r="H255" s="39"/>
      <c r="I255" s="39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60"/>
      <c r="U255" s="61" t="n">
        <v>517.28</v>
      </c>
      <c r="V255" s="62"/>
      <c r="W255" s="62"/>
      <c r="X255" s="62"/>
      <c r="Y255" s="62"/>
      <c r="Z255" s="62"/>
      <c r="AA255" s="60"/>
      <c r="XEN255" s="32"/>
      <c r="XEO255" s="32"/>
      <c r="XEP255" s="32"/>
      <c r="XEQ255" s="32"/>
      <c r="XER255" s="32"/>
      <c r="XES255" s="32"/>
      <c r="XET255" s="32"/>
      <c r="XEU255" s="32"/>
      <c r="XEV255" s="32"/>
      <c r="XEW255" s="32"/>
      <c r="XEX255" s="32"/>
      <c r="XEY255" s="32"/>
      <c r="XEZ255" s="32"/>
      <c r="XFA255" s="32"/>
      <c r="XFB255" s="32"/>
      <c r="XFC255" s="32"/>
      <c r="XFD255" s="32"/>
    </row>
    <row r="256" s="40" customFormat="true" ht="18.75" hidden="false" customHeight="true" outlineLevel="0" collapsed="false">
      <c r="A256" s="42" t="s">
        <v>1012</v>
      </c>
      <c r="B256" s="39" t="s">
        <v>214</v>
      </c>
      <c r="C256" s="42"/>
      <c r="D256" s="38" t="s">
        <v>215</v>
      </c>
      <c r="E256" s="38" t="s">
        <v>1013</v>
      </c>
      <c r="F256" s="38"/>
      <c r="G256" s="59" t="s">
        <v>1014</v>
      </c>
      <c r="H256" s="39"/>
      <c r="I256" s="39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T256" s="60"/>
      <c r="U256" s="61" t="n">
        <v>517.28</v>
      </c>
      <c r="V256" s="62"/>
      <c r="W256" s="62"/>
      <c r="X256" s="62"/>
      <c r="Y256" s="62"/>
      <c r="Z256" s="62"/>
      <c r="AA256" s="60"/>
      <c r="XEN256" s="32"/>
      <c r="XEO256" s="32"/>
      <c r="XEP256" s="32"/>
      <c r="XEQ256" s="32"/>
      <c r="XER256" s="32"/>
      <c r="XES256" s="32"/>
      <c r="XET256" s="32"/>
      <c r="XEU256" s="32"/>
      <c r="XEV256" s="32"/>
      <c r="XEW256" s="32"/>
      <c r="XEX256" s="32"/>
      <c r="XEY256" s="32"/>
      <c r="XEZ256" s="32"/>
      <c r="XFA256" s="32"/>
      <c r="XFB256" s="32"/>
      <c r="XFC256" s="32"/>
      <c r="XFD256" s="32"/>
    </row>
    <row r="257" s="40" customFormat="true" ht="18.75" hidden="false" customHeight="true" outlineLevel="0" collapsed="false">
      <c r="A257" s="42" t="s">
        <v>1015</v>
      </c>
      <c r="B257" s="39" t="s">
        <v>214</v>
      </c>
      <c r="C257" s="42"/>
      <c r="D257" s="38" t="s">
        <v>215</v>
      </c>
      <c r="E257" s="38" t="s">
        <v>1016</v>
      </c>
      <c r="F257" s="38"/>
      <c r="G257" s="59" t="n">
        <v>31867</v>
      </c>
      <c r="H257" s="39"/>
      <c r="I257" s="39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T257" s="60"/>
      <c r="U257" s="61" t="n">
        <v>517.28</v>
      </c>
      <c r="V257" s="62"/>
      <c r="W257" s="62"/>
      <c r="X257" s="62"/>
      <c r="Y257" s="62"/>
      <c r="Z257" s="62"/>
      <c r="AA257" s="60"/>
      <c r="XEN257" s="32"/>
      <c r="XEO257" s="32"/>
      <c r="XEP257" s="32"/>
      <c r="XEQ257" s="32"/>
      <c r="XER257" s="32"/>
      <c r="XES257" s="32"/>
      <c r="XET257" s="32"/>
      <c r="XEU257" s="32"/>
      <c r="XEV257" s="32"/>
      <c r="XEW257" s="32"/>
      <c r="XEX257" s="32"/>
      <c r="XEY257" s="32"/>
      <c r="XEZ257" s="32"/>
      <c r="XFA257" s="32"/>
      <c r="XFB257" s="32"/>
      <c r="XFC257" s="32"/>
      <c r="XFD257" s="32"/>
    </row>
    <row r="258" s="40" customFormat="true" ht="18.75" hidden="false" customHeight="true" outlineLevel="0" collapsed="false">
      <c r="A258" s="42" t="s">
        <v>1017</v>
      </c>
      <c r="B258" s="39" t="s">
        <v>214</v>
      </c>
      <c r="C258" s="42"/>
      <c r="D258" s="38" t="s">
        <v>215</v>
      </c>
      <c r="E258" s="38" t="s">
        <v>1018</v>
      </c>
      <c r="F258" s="38"/>
      <c r="G258" s="59" t="n">
        <v>36733</v>
      </c>
      <c r="H258" s="39"/>
      <c r="I258" s="39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T258" s="60"/>
      <c r="U258" s="61" t="n">
        <v>517.28</v>
      </c>
      <c r="V258" s="62"/>
      <c r="W258" s="62"/>
      <c r="X258" s="62"/>
      <c r="Y258" s="62"/>
      <c r="Z258" s="62"/>
      <c r="AA258" s="60"/>
      <c r="XEN258" s="32"/>
      <c r="XEO258" s="32"/>
      <c r="XEP258" s="32"/>
      <c r="XEQ258" s="32"/>
      <c r="XER258" s="32"/>
      <c r="XES258" s="32"/>
      <c r="XET258" s="32"/>
      <c r="XEU258" s="32"/>
      <c r="XEV258" s="32"/>
      <c r="XEW258" s="32"/>
      <c r="XEX258" s="32"/>
      <c r="XEY258" s="32"/>
      <c r="XEZ258" s="32"/>
      <c r="XFA258" s="32"/>
      <c r="XFB258" s="32"/>
      <c r="XFC258" s="32"/>
      <c r="XFD258" s="32"/>
    </row>
    <row r="259" s="40" customFormat="true" ht="18.75" hidden="false" customHeight="true" outlineLevel="0" collapsed="false">
      <c r="A259" s="42" t="s">
        <v>1019</v>
      </c>
      <c r="B259" s="39" t="s">
        <v>214</v>
      </c>
      <c r="C259" s="42"/>
      <c r="D259" s="38" t="s">
        <v>215</v>
      </c>
      <c r="E259" s="38" t="s">
        <v>1020</v>
      </c>
      <c r="F259" s="38"/>
      <c r="G259" s="65" t="s">
        <v>1021</v>
      </c>
      <c r="H259" s="39"/>
      <c r="I259" s="39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1" t="n">
        <v>517.28</v>
      </c>
      <c r="V259" s="62"/>
      <c r="W259" s="62"/>
      <c r="X259" s="62"/>
      <c r="Y259" s="62"/>
      <c r="Z259" s="62"/>
      <c r="AA259" s="60"/>
      <c r="XEN259" s="32"/>
      <c r="XEO259" s="32"/>
      <c r="XEP259" s="32"/>
      <c r="XEQ259" s="32"/>
      <c r="XER259" s="32"/>
      <c r="XES259" s="32"/>
      <c r="XET259" s="32"/>
      <c r="XEU259" s="32"/>
      <c r="XEV259" s="32"/>
      <c r="XEW259" s="32"/>
      <c r="XEX259" s="32"/>
      <c r="XEY259" s="32"/>
      <c r="XEZ259" s="32"/>
      <c r="XFA259" s="32"/>
      <c r="XFB259" s="32"/>
      <c r="XFC259" s="32"/>
      <c r="XFD259" s="32"/>
    </row>
    <row r="260" s="40" customFormat="true" ht="18.75" hidden="false" customHeight="true" outlineLevel="0" collapsed="false">
      <c r="A260" s="42" t="s">
        <v>1022</v>
      </c>
      <c r="B260" s="39" t="s">
        <v>290</v>
      </c>
      <c r="C260" s="38"/>
      <c r="D260" s="38" t="s">
        <v>291</v>
      </c>
      <c r="E260" s="38" t="s">
        <v>1023</v>
      </c>
      <c r="F260" s="38"/>
      <c r="G260" s="59" t="n">
        <v>38823</v>
      </c>
      <c r="H260" s="39"/>
      <c r="I260" s="39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T260" s="60"/>
      <c r="U260" s="61" t="n">
        <v>748.6</v>
      </c>
      <c r="V260" s="62"/>
      <c r="W260" s="62"/>
      <c r="X260" s="62"/>
      <c r="Y260" s="62"/>
      <c r="Z260" s="62"/>
      <c r="AA260" s="60"/>
      <c r="XEN260" s="32"/>
      <c r="XEO260" s="32"/>
      <c r="XEP260" s="32"/>
      <c r="XEQ260" s="32"/>
      <c r="XER260" s="32"/>
      <c r="XES260" s="32"/>
      <c r="XET260" s="32"/>
      <c r="XEU260" s="32"/>
      <c r="XEV260" s="32"/>
      <c r="XEW260" s="32"/>
      <c r="XEX260" s="32"/>
      <c r="XEY260" s="32"/>
      <c r="XEZ260" s="32"/>
      <c r="XFA260" s="32"/>
      <c r="XFB260" s="32"/>
      <c r="XFC260" s="32"/>
      <c r="XFD260" s="32"/>
    </row>
    <row r="261" s="40" customFormat="true" ht="18.75" hidden="false" customHeight="true" outlineLevel="0" collapsed="false">
      <c r="A261" s="66" t="s">
        <v>1024</v>
      </c>
      <c r="B261" s="39" t="s">
        <v>290</v>
      </c>
      <c r="C261" s="38"/>
      <c r="D261" s="38" t="s">
        <v>291</v>
      </c>
      <c r="E261" s="38" t="s">
        <v>1025</v>
      </c>
      <c r="F261" s="38"/>
      <c r="G261" s="59" t="n">
        <v>38616</v>
      </c>
      <c r="H261" s="39"/>
      <c r="I261" s="39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60"/>
      <c r="U261" s="61" t="n">
        <v>748.6</v>
      </c>
      <c r="V261" s="62"/>
      <c r="W261" s="62"/>
      <c r="X261" s="62"/>
      <c r="Y261" s="62"/>
      <c r="Z261" s="62"/>
      <c r="AA261" s="60"/>
      <c r="XEN261" s="32"/>
      <c r="XEO261" s="32"/>
      <c r="XEP261" s="32"/>
      <c r="XEQ261" s="32"/>
      <c r="XER261" s="32"/>
      <c r="XES261" s="32"/>
      <c r="XET261" s="32"/>
      <c r="XEU261" s="32"/>
      <c r="XEV261" s="32"/>
      <c r="XEW261" s="32"/>
      <c r="XEX261" s="32"/>
      <c r="XEY261" s="32"/>
      <c r="XEZ261" s="32"/>
      <c r="XFA261" s="32"/>
      <c r="XFB261" s="32"/>
      <c r="XFC261" s="32"/>
      <c r="XFD261" s="32"/>
    </row>
    <row r="262" s="40" customFormat="true" ht="18.75" hidden="false" customHeight="true" outlineLevel="0" collapsed="false">
      <c r="A262" s="42" t="s">
        <v>1026</v>
      </c>
      <c r="B262" s="39" t="s">
        <v>290</v>
      </c>
      <c r="C262" s="38"/>
      <c r="D262" s="38" t="s">
        <v>291</v>
      </c>
      <c r="E262" s="38" t="s">
        <v>1027</v>
      </c>
      <c r="F262" s="38"/>
      <c r="G262" s="59" t="n">
        <v>23843</v>
      </c>
      <c r="H262" s="39"/>
      <c r="I262" s="39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60"/>
      <c r="U262" s="61" t="n">
        <v>748.6</v>
      </c>
      <c r="V262" s="62"/>
      <c r="W262" s="62"/>
      <c r="X262" s="62"/>
      <c r="Y262" s="62"/>
      <c r="Z262" s="62"/>
      <c r="AA262" s="60"/>
      <c r="XEN262" s="32"/>
      <c r="XEO262" s="32"/>
      <c r="XEP262" s="32"/>
      <c r="XEQ262" s="32"/>
      <c r="XER262" s="32"/>
      <c r="XES262" s="32"/>
      <c r="XET262" s="32"/>
      <c r="XEU262" s="32"/>
      <c r="XEV262" s="32"/>
      <c r="XEW262" s="32"/>
      <c r="XEX262" s="32"/>
      <c r="XEY262" s="32"/>
      <c r="XEZ262" s="32"/>
      <c r="XFA262" s="32"/>
      <c r="XFB262" s="32"/>
      <c r="XFC262" s="32"/>
      <c r="XFD262" s="32"/>
    </row>
    <row r="263" s="40" customFormat="true" ht="18.75" hidden="false" customHeight="true" outlineLevel="0" collapsed="false">
      <c r="A263" s="76" t="s">
        <v>1028</v>
      </c>
      <c r="B263" s="39" t="s">
        <v>290</v>
      </c>
      <c r="C263" s="38"/>
      <c r="D263" s="38" t="s">
        <v>291</v>
      </c>
      <c r="E263" s="38" t="s">
        <v>1029</v>
      </c>
      <c r="F263" s="38"/>
      <c r="G263" s="59" t="n">
        <v>23942</v>
      </c>
      <c r="H263" s="39"/>
      <c r="I263" s="39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60"/>
      <c r="U263" s="61" t="n">
        <v>748.6</v>
      </c>
      <c r="V263" s="62"/>
      <c r="W263" s="62"/>
      <c r="X263" s="62"/>
      <c r="Y263" s="62"/>
      <c r="Z263" s="62"/>
      <c r="AA263" s="60"/>
      <c r="XEN263" s="32"/>
      <c r="XEO263" s="32"/>
      <c r="XEP263" s="32"/>
      <c r="XEQ263" s="32"/>
      <c r="XER263" s="32"/>
      <c r="XES263" s="32"/>
      <c r="XET263" s="32"/>
      <c r="XEU263" s="32"/>
      <c r="XEV263" s="32"/>
      <c r="XEW263" s="32"/>
      <c r="XEX263" s="32"/>
      <c r="XEY263" s="32"/>
      <c r="XEZ263" s="32"/>
      <c r="XFA263" s="32"/>
      <c r="XFB263" s="32"/>
      <c r="XFC263" s="32"/>
      <c r="XFD263" s="32"/>
    </row>
    <row r="264" s="40" customFormat="true" ht="18.75" hidden="false" customHeight="true" outlineLevel="0" collapsed="false">
      <c r="A264" s="42" t="s">
        <v>1030</v>
      </c>
      <c r="B264" s="38" t="s">
        <v>290</v>
      </c>
      <c r="C264" s="38"/>
      <c r="D264" s="38" t="s">
        <v>291</v>
      </c>
      <c r="E264" s="38" t="s">
        <v>1031</v>
      </c>
      <c r="F264" s="38"/>
      <c r="G264" s="59" t="n">
        <v>31628</v>
      </c>
      <c r="H264" s="39"/>
      <c r="I264" s="39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60"/>
      <c r="U264" s="61" t="n">
        <v>748.6</v>
      </c>
      <c r="V264" s="62"/>
      <c r="W264" s="62"/>
      <c r="X264" s="62"/>
      <c r="Y264" s="62"/>
      <c r="Z264" s="62"/>
      <c r="AA264" s="60"/>
      <c r="XEN264" s="32"/>
      <c r="XEO264" s="32"/>
      <c r="XEP264" s="32"/>
      <c r="XEQ264" s="32"/>
      <c r="XER264" s="32"/>
      <c r="XES264" s="32"/>
      <c r="XET264" s="32"/>
      <c r="XEU264" s="32"/>
      <c r="XEV264" s="32"/>
      <c r="XEW264" s="32"/>
      <c r="XEX264" s="32"/>
      <c r="XEY264" s="32"/>
      <c r="XEZ264" s="32"/>
      <c r="XFA264" s="32"/>
      <c r="XFB264" s="32"/>
      <c r="XFC264" s="32"/>
      <c r="XFD264" s="32"/>
    </row>
    <row r="265" s="40" customFormat="true" ht="18.75" hidden="false" customHeight="true" outlineLevel="0" collapsed="false">
      <c r="A265" s="42" t="s">
        <v>1032</v>
      </c>
      <c r="B265" s="39" t="s">
        <v>290</v>
      </c>
      <c r="C265" s="38"/>
      <c r="D265" s="38" t="s">
        <v>291</v>
      </c>
      <c r="E265" s="38" t="s">
        <v>1033</v>
      </c>
      <c r="F265" s="38"/>
      <c r="G265" s="59" t="n">
        <v>28873</v>
      </c>
      <c r="H265" s="39"/>
      <c r="I265" s="39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60"/>
      <c r="U265" s="61" t="n">
        <v>748.6</v>
      </c>
      <c r="V265" s="62"/>
      <c r="W265" s="62"/>
      <c r="X265" s="62"/>
      <c r="Y265" s="62"/>
      <c r="Z265" s="62"/>
      <c r="AA265" s="60"/>
      <c r="XEN265" s="32"/>
      <c r="XEO265" s="32"/>
      <c r="XEP265" s="32"/>
      <c r="XEQ265" s="32"/>
      <c r="XER265" s="32"/>
      <c r="XES265" s="32"/>
      <c r="XET265" s="32"/>
      <c r="XEU265" s="32"/>
      <c r="XEV265" s="32"/>
      <c r="XEW265" s="32"/>
      <c r="XEX265" s="32"/>
      <c r="XEY265" s="32"/>
      <c r="XEZ265" s="32"/>
      <c r="XFA265" s="32"/>
      <c r="XFB265" s="32"/>
      <c r="XFC265" s="32"/>
      <c r="XFD265" s="32"/>
    </row>
    <row r="266" s="40" customFormat="true" ht="18.75" hidden="false" customHeight="true" outlineLevel="0" collapsed="false">
      <c r="A266" s="42" t="s">
        <v>1034</v>
      </c>
      <c r="B266" s="39" t="s">
        <v>210</v>
      </c>
      <c r="C266" s="42"/>
      <c r="D266" s="38" t="s">
        <v>211</v>
      </c>
      <c r="E266" s="38" t="s">
        <v>1035</v>
      </c>
      <c r="F266" s="38"/>
      <c r="G266" s="59" t="n">
        <v>32327</v>
      </c>
      <c r="H266" s="39"/>
      <c r="I266" s="39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60"/>
      <c r="U266" s="61" t="n">
        <v>582.59</v>
      </c>
      <c r="V266" s="62"/>
      <c r="W266" s="62"/>
      <c r="X266" s="62"/>
      <c r="Y266" s="62"/>
      <c r="Z266" s="62"/>
      <c r="AA266" s="60"/>
      <c r="XEN266" s="32"/>
      <c r="XEO266" s="32"/>
      <c r="XEP266" s="32"/>
      <c r="XEQ266" s="32"/>
      <c r="XER266" s="32"/>
      <c r="XES266" s="32"/>
      <c r="XET266" s="32"/>
      <c r="XEU266" s="32"/>
      <c r="XEV266" s="32"/>
      <c r="XEW266" s="32"/>
      <c r="XEX266" s="32"/>
      <c r="XEY266" s="32"/>
      <c r="XEZ266" s="32"/>
      <c r="XFA266" s="32"/>
      <c r="XFB266" s="32"/>
      <c r="XFC266" s="32"/>
      <c r="XFD266" s="32"/>
    </row>
    <row r="267" s="40" customFormat="true" ht="18.75" hidden="false" customHeight="true" outlineLevel="0" collapsed="false">
      <c r="A267" s="42" t="s">
        <v>1036</v>
      </c>
      <c r="B267" s="39" t="s">
        <v>210</v>
      </c>
      <c r="C267" s="42"/>
      <c r="D267" s="38" t="s">
        <v>211</v>
      </c>
      <c r="E267" s="38" t="s">
        <v>1037</v>
      </c>
      <c r="F267" s="38"/>
      <c r="G267" s="59" t="s">
        <v>1038</v>
      </c>
      <c r="H267" s="39"/>
      <c r="I267" s="39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60"/>
      <c r="U267" s="61" t="n">
        <v>582.59</v>
      </c>
      <c r="V267" s="62"/>
      <c r="W267" s="62"/>
      <c r="X267" s="62"/>
      <c r="Y267" s="62"/>
      <c r="Z267" s="62"/>
      <c r="AA267" s="60"/>
      <c r="XEN267" s="32"/>
      <c r="XEO267" s="32"/>
      <c r="XEP267" s="32"/>
      <c r="XEQ267" s="32"/>
      <c r="XER267" s="32"/>
      <c r="XES267" s="32"/>
      <c r="XET267" s="32"/>
      <c r="XEU267" s="32"/>
      <c r="XEV267" s="32"/>
      <c r="XEW267" s="32"/>
      <c r="XEX267" s="32"/>
      <c r="XEY267" s="32"/>
      <c r="XEZ267" s="32"/>
      <c r="XFA267" s="32"/>
      <c r="XFB267" s="32"/>
      <c r="XFC267" s="32"/>
      <c r="XFD267" s="32"/>
    </row>
    <row r="268" s="40" customFormat="true" ht="18.75" hidden="false" customHeight="true" outlineLevel="0" collapsed="false">
      <c r="A268" s="42" t="s">
        <v>1039</v>
      </c>
      <c r="B268" s="39" t="s">
        <v>210</v>
      </c>
      <c r="C268" s="42"/>
      <c r="D268" s="38" t="s">
        <v>211</v>
      </c>
      <c r="E268" s="38" t="s">
        <v>1040</v>
      </c>
      <c r="F268" s="38"/>
      <c r="G268" s="59" t="n">
        <v>24143</v>
      </c>
      <c r="H268" s="39"/>
      <c r="I268" s="39"/>
      <c r="J268" s="60"/>
      <c r="K268" s="64"/>
      <c r="L268" s="60"/>
      <c r="M268" s="60"/>
      <c r="N268" s="60"/>
      <c r="O268" s="60"/>
      <c r="P268" s="60"/>
      <c r="Q268" s="60"/>
      <c r="R268" s="60"/>
      <c r="S268" s="60"/>
      <c r="T268" s="60"/>
      <c r="U268" s="61" t="n">
        <v>582.59</v>
      </c>
      <c r="V268" s="62"/>
      <c r="W268" s="62"/>
      <c r="X268" s="62"/>
      <c r="Y268" s="62"/>
      <c r="Z268" s="62"/>
      <c r="AA268" s="60"/>
      <c r="XEN268" s="32"/>
      <c r="XEO268" s="32"/>
      <c r="XEP268" s="32"/>
      <c r="XEQ268" s="32"/>
      <c r="XER268" s="32"/>
      <c r="XES268" s="32"/>
      <c r="XET268" s="32"/>
      <c r="XEU268" s="32"/>
      <c r="XEV268" s="32"/>
      <c r="XEW268" s="32"/>
      <c r="XEX268" s="32"/>
      <c r="XEY268" s="32"/>
      <c r="XEZ268" s="32"/>
      <c r="XFA268" s="32"/>
      <c r="XFB268" s="32"/>
      <c r="XFC268" s="32"/>
      <c r="XFD268" s="32"/>
    </row>
    <row r="269" s="40" customFormat="true" ht="18.75" hidden="false" customHeight="true" outlineLevel="0" collapsed="false">
      <c r="A269" s="42" t="s">
        <v>1041</v>
      </c>
      <c r="B269" s="39" t="s">
        <v>210</v>
      </c>
      <c r="C269" s="42"/>
      <c r="D269" s="38" t="s">
        <v>211</v>
      </c>
      <c r="E269" s="38" t="s">
        <v>1042</v>
      </c>
      <c r="F269" s="38"/>
      <c r="G269" s="59" t="s">
        <v>1043</v>
      </c>
      <c r="H269" s="39"/>
      <c r="I269" s="39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T269" s="60"/>
      <c r="U269" s="61" t="n">
        <v>582.59</v>
      </c>
      <c r="V269" s="62"/>
      <c r="W269" s="62"/>
      <c r="X269" s="62"/>
      <c r="Y269" s="62"/>
      <c r="Z269" s="62"/>
      <c r="AA269" s="60"/>
      <c r="XEN269" s="32"/>
      <c r="XEO269" s="32"/>
      <c r="XEP269" s="32"/>
      <c r="XEQ269" s="32"/>
      <c r="XER269" s="32"/>
      <c r="XES269" s="32"/>
      <c r="XET269" s="32"/>
      <c r="XEU269" s="32"/>
      <c r="XEV269" s="32"/>
      <c r="XEW269" s="32"/>
      <c r="XEX269" s="32"/>
      <c r="XEY269" s="32"/>
      <c r="XEZ269" s="32"/>
      <c r="XFA269" s="32"/>
      <c r="XFB269" s="32"/>
      <c r="XFC269" s="32"/>
      <c r="XFD269" s="32"/>
    </row>
    <row r="270" s="40" customFormat="true" ht="18.75" hidden="false" customHeight="true" outlineLevel="0" collapsed="false">
      <c r="A270" s="42" t="s">
        <v>1044</v>
      </c>
      <c r="B270" s="39" t="s">
        <v>210</v>
      </c>
      <c r="C270" s="42"/>
      <c r="D270" s="38" t="s">
        <v>211</v>
      </c>
      <c r="E270" s="38" t="s">
        <v>1045</v>
      </c>
      <c r="F270" s="38"/>
      <c r="G270" s="59" t="n">
        <v>27519</v>
      </c>
      <c r="H270" s="39"/>
      <c r="I270" s="39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T270" s="60"/>
      <c r="U270" s="61" t="n">
        <v>582.59</v>
      </c>
      <c r="V270" s="62"/>
      <c r="W270" s="62"/>
      <c r="X270" s="62"/>
      <c r="Y270" s="62"/>
      <c r="Z270" s="62"/>
      <c r="AA270" s="60"/>
      <c r="XEN270" s="32"/>
      <c r="XEO270" s="32"/>
      <c r="XEP270" s="32"/>
      <c r="XEQ270" s="32"/>
      <c r="XER270" s="32"/>
      <c r="XES270" s="32"/>
      <c r="XET270" s="32"/>
      <c r="XEU270" s="32"/>
      <c r="XEV270" s="32"/>
      <c r="XEW270" s="32"/>
      <c r="XEX270" s="32"/>
      <c r="XEY270" s="32"/>
      <c r="XEZ270" s="32"/>
      <c r="XFA270" s="32"/>
      <c r="XFB270" s="32"/>
      <c r="XFC270" s="32"/>
      <c r="XFD270" s="32"/>
    </row>
    <row r="271" s="40" customFormat="true" ht="18.75" hidden="false" customHeight="true" outlineLevel="0" collapsed="false">
      <c r="A271" s="42" t="s">
        <v>1046</v>
      </c>
      <c r="B271" s="39" t="s">
        <v>210</v>
      </c>
      <c r="C271" s="42"/>
      <c r="D271" s="38" t="s">
        <v>211</v>
      </c>
      <c r="E271" s="38" t="s">
        <v>1047</v>
      </c>
      <c r="F271" s="38"/>
      <c r="G271" s="59" t="n">
        <v>35163</v>
      </c>
      <c r="H271" s="39"/>
      <c r="I271" s="39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T271" s="60"/>
      <c r="U271" s="61" t="n">
        <v>582.59</v>
      </c>
      <c r="V271" s="62"/>
      <c r="W271" s="62"/>
      <c r="X271" s="62"/>
      <c r="Y271" s="62"/>
      <c r="Z271" s="62"/>
      <c r="AA271" s="60"/>
      <c r="XEN271" s="32"/>
      <c r="XEO271" s="32"/>
      <c r="XEP271" s="32"/>
      <c r="XEQ271" s="32"/>
      <c r="XER271" s="32"/>
      <c r="XES271" s="32"/>
      <c r="XET271" s="32"/>
      <c r="XEU271" s="32"/>
      <c r="XEV271" s="32"/>
      <c r="XEW271" s="32"/>
      <c r="XEX271" s="32"/>
      <c r="XEY271" s="32"/>
      <c r="XEZ271" s="32"/>
      <c r="XFA271" s="32"/>
      <c r="XFB271" s="32"/>
      <c r="XFC271" s="32"/>
      <c r="XFD271" s="32"/>
    </row>
    <row r="272" s="40" customFormat="true" ht="18.75" hidden="false" customHeight="true" outlineLevel="0" collapsed="false">
      <c r="A272" s="42" t="s">
        <v>1048</v>
      </c>
      <c r="B272" s="39" t="s">
        <v>210</v>
      </c>
      <c r="C272" s="42"/>
      <c r="D272" s="38" t="s">
        <v>211</v>
      </c>
      <c r="E272" s="38" t="s">
        <v>1049</v>
      </c>
      <c r="F272" s="38"/>
      <c r="G272" s="59" t="n">
        <v>31363</v>
      </c>
      <c r="H272" s="39"/>
      <c r="I272" s="39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T272" s="60"/>
      <c r="U272" s="61" t="n">
        <v>582.59</v>
      </c>
      <c r="V272" s="62"/>
      <c r="W272" s="62"/>
      <c r="X272" s="62"/>
      <c r="Y272" s="62"/>
      <c r="Z272" s="62"/>
      <c r="AA272" s="60"/>
      <c r="XEN272" s="32"/>
      <c r="XEO272" s="32"/>
      <c r="XEP272" s="32"/>
      <c r="XEQ272" s="32"/>
      <c r="XER272" s="32"/>
      <c r="XES272" s="32"/>
      <c r="XET272" s="32"/>
      <c r="XEU272" s="32"/>
      <c r="XEV272" s="32"/>
      <c r="XEW272" s="32"/>
      <c r="XEX272" s="32"/>
      <c r="XEY272" s="32"/>
      <c r="XEZ272" s="32"/>
      <c r="XFA272" s="32"/>
      <c r="XFB272" s="32"/>
      <c r="XFC272" s="32"/>
      <c r="XFD272" s="32"/>
    </row>
    <row r="273" s="40" customFormat="true" ht="18.75" hidden="false" customHeight="true" outlineLevel="0" collapsed="false">
      <c r="A273" s="42" t="s">
        <v>1050</v>
      </c>
      <c r="B273" s="39" t="s">
        <v>210</v>
      </c>
      <c r="C273" s="42"/>
      <c r="D273" s="38" t="s">
        <v>211</v>
      </c>
      <c r="E273" s="38" t="s">
        <v>1051</v>
      </c>
      <c r="F273" s="38"/>
      <c r="G273" s="59" t="n">
        <v>37361</v>
      </c>
      <c r="H273" s="39"/>
      <c r="I273" s="39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T273" s="60"/>
      <c r="U273" s="61" t="n">
        <v>582.59</v>
      </c>
      <c r="V273" s="62"/>
      <c r="W273" s="62"/>
      <c r="X273" s="62"/>
      <c r="Y273" s="62"/>
      <c r="Z273" s="62"/>
      <c r="AA273" s="60"/>
      <c r="XEN273" s="32"/>
      <c r="XEO273" s="32"/>
      <c r="XEP273" s="32"/>
      <c r="XEQ273" s="32"/>
      <c r="XER273" s="32"/>
      <c r="XES273" s="32"/>
      <c r="XET273" s="32"/>
      <c r="XEU273" s="32"/>
      <c r="XEV273" s="32"/>
      <c r="XEW273" s="32"/>
      <c r="XEX273" s="32"/>
      <c r="XEY273" s="32"/>
      <c r="XEZ273" s="32"/>
      <c r="XFA273" s="32"/>
      <c r="XFB273" s="32"/>
      <c r="XFC273" s="32"/>
      <c r="XFD273" s="32"/>
    </row>
    <row r="274" s="40" customFormat="true" ht="18.75" hidden="false" customHeight="true" outlineLevel="0" collapsed="false">
      <c r="A274" s="42" t="s">
        <v>1052</v>
      </c>
      <c r="B274" s="39" t="s">
        <v>210</v>
      </c>
      <c r="C274" s="42"/>
      <c r="D274" s="38" t="s">
        <v>211</v>
      </c>
      <c r="E274" s="38" t="s">
        <v>1053</v>
      </c>
      <c r="F274" s="38"/>
      <c r="G274" s="59" t="n">
        <v>31006</v>
      </c>
      <c r="H274" s="39"/>
      <c r="I274" s="39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T274" s="60"/>
      <c r="U274" s="61" t="n">
        <v>582.59</v>
      </c>
      <c r="V274" s="62"/>
      <c r="W274" s="62"/>
      <c r="X274" s="62"/>
      <c r="Y274" s="62"/>
      <c r="Z274" s="62"/>
      <c r="AA274" s="60"/>
      <c r="XEN274" s="32"/>
      <c r="XEO274" s="32"/>
      <c r="XEP274" s="32"/>
      <c r="XEQ274" s="32"/>
      <c r="XER274" s="32"/>
      <c r="XES274" s="32"/>
      <c r="XET274" s="32"/>
      <c r="XEU274" s="32"/>
      <c r="XEV274" s="32"/>
      <c r="XEW274" s="32"/>
      <c r="XEX274" s="32"/>
      <c r="XEY274" s="32"/>
      <c r="XEZ274" s="32"/>
      <c r="XFA274" s="32"/>
      <c r="XFB274" s="32"/>
      <c r="XFC274" s="32"/>
      <c r="XFD274" s="32"/>
    </row>
    <row r="275" s="40" customFormat="true" ht="18.75" hidden="false" customHeight="true" outlineLevel="0" collapsed="false">
      <c r="A275" s="42" t="s">
        <v>1054</v>
      </c>
      <c r="B275" s="37" t="s">
        <v>174</v>
      </c>
      <c r="C275" s="38"/>
      <c r="D275" s="38" t="s">
        <v>175</v>
      </c>
      <c r="E275" s="38" t="s">
        <v>1055</v>
      </c>
      <c r="F275" s="38"/>
      <c r="G275" s="59" t="s">
        <v>1056</v>
      </c>
      <c r="H275" s="39"/>
      <c r="I275" s="39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1" t="n">
        <v>548.21</v>
      </c>
      <c r="V275" s="62"/>
      <c r="W275" s="62"/>
      <c r="X275" s="62"/>
      <c r="Y275" s="62"/>
      <c r="Z275" s="62"/>
      <c r="AA275" s="60"/>
      <c r="XEN275" s="32"/>
      <c r="XEO275" s="32"/>
      <c r="XEP275" s="32"/>
      <c r="XEQ275" s="32"/>
      <c r="XER275" s="32"/>
      <c r="XES275" s="32"/>
      <c r="XET275" s="32"/>
      <c r="XEU275" s="32"/>
      <c r="XEV275" s="32"/>
      <c r="XEW275" s="32"/>
      <c r="XEX275" s="32"/>
      <c r="XEY275" s="32"/>
      <c r="XEZ275" s="32"/>
      <c r="XFA275" s="32"/>
      <c r="XFB275" s="32"/>
      <c r="XFC275" s="32"/>
      <c r="XFD275" s="32"/>
    </row>
    <row r="276" s="40" customFormat="true" ht="18.75" hidden="false" customHeight="true" outlineLevel="0" collapsed="false">
      <c r="A276" s="42" t="s">
        <v>1057</v>
      </c>
      <c r="B276" s="37" t="s">
        <v>174</v>
      </c>
      <c r="C276" s="38"/>
      <c r="D276" s="38" t="s">
        <v>175</v>
      </c>
      <c r="E276" s="38" t="s">
        <v>1058</v>
      </c>
      <c r="F276" s="38"/>
      <c r="G276" s="59" t="s">
        <v>1059</v>
      </c>
      <c r="H276" s="39"/>
      <c r="I276" s="39"/>
      <c r="J276" s="60"/>
      <c r="K276" s="60"/>
      <c r="L276" s="60"/>
      <c r="M276" s="60"/>
      <c r="N276" s="60"/>
      <c r="O276" s="60"/>
      <c r="P276" s="60"/>
      <c r="Q276" s="60"/>
      <c r="R276" s="60"/>
      <c r="S276" s="60"/>
      <c r="T276" s="60"/>
      <c r="U276" s="61" t="n">
        <v>548.21</v>
      </c>
      <c r="V276" s="62"/>
      <c r="W276" s="62"/>
      <c r="X276" s="62"/>
      <c r="Y276" s="62"/>
      <c r="Z276" s="62"/>
      <c r="AA276" s="60"/>
      <c r="XEN276" s="32"/>
      <c r="XEO276" s="32"/>
      <c r="XEP276" s="32"/>
      <c r="XEQ276" s="32"/>
      <c r="XER276" s="32"/>
      <c r="XES276" s="32"/>
      <c r="XET276" s="32"/>
      <c r="XEU276" s="32"/>
      <c r="XEV276" s="32"/>
      <c r="XEW276" s="32"/>
      <c r="XEX276" s="32"/>
      <c r="XEY276" s="32"/>
      <c r="XEZ276" s="32"/>
      <c r="XFA276" s="32"/>
      <c r="XFB276" s="32"/>
      <c r="XFC276" s="32"/>
      <c r="XFD276" s="32"/>
    </row>
    <row r="277" s="40" customFormat="true" ht="18.75" hidden="false" customHeight="true" outlineLevel="0" collapsed="false">
      <c r="A277" s="42" t="s">
        <v>1060</v>
      </c>
      <c r="B277" s="37" t="s">
        <v>174</v>
      </c>
      <c r="C277" s="39"/>
      <c r="D277" s="38" t="s">
        <v>175</v>
      </c>
      <c r="E277" s="38" t="s">
        <v>1061</v>
      </c>
      <c r="F277" s="38"/>
      <c r="G277" s="59" t="n">
        <v>25007</v>
      </c>
      <c r="H277" s="39"/>
      <c r="I277" s="39"/>
      <c r="J277" s="60"/>
      <c r="K277" s="60"/>
      <c r="L277" s="60"/>
      <c r="M277" s="60"/>
      <c r="N277" s="60"/>
      <c r="O277" s="60"/>
      <c r="P277" s="60"/>
      <c r="Q277" s="60"/>
      <c r="R277" s="60"/>
      <c r="S277" s="60"/>
      <c r="T277" s="60"/>
      <c r="U277" s="61" t="n">
        <v>548.21</v>
      </c>
      <c r="V277" s="62"/>
      <c r="W277" s="62"/>
      <c r="X277" s="62"/>
      <c r="Y277" s="62"/>
      <c r="Z277" s="62"/>
      <c r="AA277" s="60"/>
      <c r="XEN277" s="32"/>
      <c r="XEO277" s="32"/>
      <c r="XEP277" s="32"/>
      <c r="XEQ277" s="32"/>
      <c r="XER277" s="32"/>
      <c r="XES277" s="32"/>
      <c r="XET277" s="32"/>
      <c r="XEU277" s="32"/>
      <c r="XEV277" s="32"/>
      <c r="XEW277" s="32"/>
      <c r="XEX277" s="32"/>
      <c r="XEY277" s="32"/>
      <c r="XEZ277" s="32"/>
      <c r="XFA277" s="32"/>
      <c r="XFB277" s="32"/>
      <c r="XFC277" s="32"/>
      <c r="XFD277" s="32"/>
    </row>
    <row r="278" s="40" customFormat="true" ht="18.75" hidden="false" customHeight="true" outlineLevel="0" collapsed="false">
      <c r="A278" s="42" t="s">
        <v>1062</v>
      </c>
      <c r="B278" s="37" t="s">
        <v>174</v>
      </c>
      <c r="C278" s="38"/>
      <c r="D278" s="38" t="s">
        <v>175</v>
      </c>
      <c r="E278" s="38" t="s">
        <v>1063</v>
      </c>
      <c r="F278" s="38"/>
      <c r="G278" s="59" t="n">
        <v>25538</v>
      </c>
      <c r="H278" s="39"/>
      <c r="I278" s="39"/>
      <c r="J278" s="60"/>
      <c r="K278" s="60"/>
      <c r="L278" s="60"/>
      <c r="M278" s="60"/>
      <c r="N278" s="60"/>
      <c r="O278" s="60"/>
      <c r="P278" s="60"/>
      <c r="Q278" s="60"/>
      <c r="R278" s="60"/>
      <c r="S278" s="60"/>
      <c r="T278" s="60"/>
      <c r="U278" s="61" t="n">
        <v>548.21</v>
      </c>
      <c r="V278" s="62"/>
      <c r="W278" s="62"/>
      <c r="X278" s="62"/>
      <c r="Y278" s="62"/>
      <c r="Z278" s="62"/>
      <c r="AA278" s="60"/>
      <c r="XEN278" s="32"/>
      <c r="XEO278" s="32"/>
      <c r="XEP278" s="32"/>
      <c r="XEQ278" s="32"/>
      <c r="XER278" s="32"/>
      <c r="XES278" s="32"/>
      <c r="XET278" s="32"/>
      <c r="XEU278" s="32"/>
      <c r="XEV278" s="32"/>
      <c r="XEW278" s="32"/>
      <c r="XEX278" s="32"/>
      <c r="XEY278" s="32"/>
      <c r="XEZ278" s="32"/>
      <c r="XFA278" s="32"/>
      <c r="XFB278" s="32"/>
      <c r="XFC278" s="32"/>
      <c r="XFD278" s="32"/>
    </row>
    <row r="279" s="40" customFormat="true" ht="18.75" hidden="false" customHeight="true" outlineLevel="0" collapsed="false">
      <c r="A279" s="42" t="s">
        <v>1064</v>
      </c>
      <c r="B279" s="37" t="s">
        <v>174</v>
      </c>
      <c r="C279" s="38"/>
      <c r="D279" s="38" t="s">
        <v>175</v>
      </c>
      <c r="E279" s="38" t="s">
        <v>1065</v>
      </c>
      <c r="F279" s="38"/>
      <c r="G279" s="59" t="s">
        <v>1066</v>
      </c>
      <c r="H279" s="39"/>
      <c r="I279" s="39"/>
      <c r="J279" s="60"/>
      <c r="K279" s="60"/>
      <c r="L279" s="60"/>
      <c r="M279" s="60"/>
      <c r="N279" s="60"/>
      <c r="O279" s="60"/>
      <c r="P279" s="60"/>
      <c r="Q279" s="60"/>
      <c r="R279" s="60"/>
      <c r="S279" s="60"/>
      <c r="T279" s="60"/>
      <c r="U279" s="61" t="n">
        <v>548.21</v>
      </c>
      <c r="V279" s="62"/>
      <c r="W279" s="62"/>
      <c r="X279" s="62"/>
      <c r="Y279" s="62"/>
      <c r="Z279" s="62"/>
      <c r="AA279" s="60"/>
      <c r="XEN279" s="32"/>
      <c r="XEO279" s="32"/>
      <c r="XEP279" s="32"/>
      <c r="XEQ279" s="32"/>
      <c r="XER279" s="32"/>
      <c r="XES279" s="32"/>
      <c r="XET279" s="32"/>
      <c r="XEU279" s="32"/>
      <c r="XEV279" s="32"/>
      <c r="XEW279" s="32"/>
      <c r="XEX279" s="32"/>
      <c r="XEY279" s="32"/>
      <c r="XEZ279" s="32"/>
      <c r="XFA279" s="32"/>
      <c r="XFB279" s="32"/>
      <c r="XFC279" s="32"/>
      <c r="XFD279" s="32"/>
    </row>
    <row r="280" s="40" customFormat="true" ht="18.75" hidden="false" customHeight="true" outlineLevel="0" collapsed="false">
      <c r="A280" s="42" t="s">
        <v>1067</v>
      </c>
      <c r="B280" s="37" t="s">
        <v>180</v>
      </c>
      <c r="C280" s="42"/>
      <c r="D280" s="38" t="s">
        <v>181</v>
      </c>
      <c r="E280" s="38" t="s">
        <v>1068</v>
      </c>
      <c r="F280" s="38"/>
      <c r="G280" s="59" t="n">
        <v>34055</v>
      </c>
      <c r="H280" s="39"/>
      <c r="I280" s="39"/>
      <c r="J280" s="60"/>
      <c r="K280" s="60"/>
      <c r="L280" s="60"/>
      <c r="M280" s="60"/>
      <c r="N280" s="60"/>
      <c r="O280" s="60"/>
      <c r="P280" s="60"/>
      <c r="Q280" s="60"/>
      <c r="R280" s="60"/>
      <c r="S280" s="60"/>
      <c r="T280" s="60"/>
      <c r="U280" s="61" t="n">
        <v>534.46</v>
      </c>
      <c r="V280" s="62"/>
      <c r="W280" s="62"/>
      <c r="X280" s="62"/>
      <c r="Y280" s="62"/>
      <c r="Z280" s="62"/>
      <c r="AA280" s="60"/>
      <c r="XEN280" s="32"/>
      <c r="XEO280" s="32"/>
      <c r="XEP280" s="32"/>
      <c r="XEQ280" s="32"/>
      <c r="XER280" s="32"/>
      <c r="XES280" s="32"/>
      <c r="XET280" s="32"/>
      <c r="XEU280" s="32"/>
      <c r="XEV280" s="32"/>
      <c r="XEW280" s="32"/>
      <c r="XEX280" s="32"/>
      <c r="XEY280" s="32"/>
      <c r="XEZ280" s="32"/>
      <c r="XFA280" s="32"/>
      <c r="XFB280" s="32"/>
      <c r="XFC280" s="32"/>
      <c r="XFD280" s="32"/>
    </row>
    <row r="281" s="40" customFormat="true" ht="18.75" hidden="false" customHeight="true" outlineLevel="0" collapsed="false">
      <c r="A281" s="42" t="s">
        <v>1069</v>
      </c>
      <c r="B281" s="37" t="s">
        <v>180</v>
      </c>
      <c r="C281" s="42"/>
      <c r="D281" s="38" t="s">
        <v>181</v>
      </c>
      <c r="E281" s="38" t="s">
        <v>1070</v>
      </c>
      <c r="F281" s="38"/>
      <c r="G281" s="59" t="n">
        <v>26704</v>
      </c>
      <c r="H281" s="39"/>
      <c r="I281" s="39"/>
      <c r="J281" s="60"/>
      <c r="K281" s="60"/>
      <c r="L281" s="60"/>
      <c r="M281" s="60"/>
      <c r="N281" s="60"/>
      <c r="O281" s="60"/>
      <c r="P281" s="60"/>
      <c r="Q281" s="60"/>
      <c r="R281" s="60"/>
      <c r="S281" s="60"/>
      <c r="T281" s="60"/>
      <c r="U281" s="61" t="n">
        <v>534.46</v>
      </c>
      <c r="V281" s="62"/>
      <c r="W281" s="62"/>
      <c r="X281" s="62"/>
      <c r="Y281" s="62"/>
      <c r="Z281" s="62"/>
      <c r="AA281" s="60"/>
      <c r="XEN281" s="32"/>
      <c r="XEO281" s="32"/>
      <c r="XEP281" s="32"/>
      <c r="XEQ281" s="32"/>
      <c r="XER281" s="32"/>
      <c r="XES281" s="32"/>
      <c r="XET281" s="32"/>
      <c r="XEU281" s="32"/>
      <c r="XEV281" s="32"/>
      <c r="XEW281" s="32"/>
      <c r="XEX281" s="32"/>
      <c r="XEY281" s="32"/>
      <c r="XEZ281" s="32"/>
      <c r="XFA281" s="32"/>
      <c r="XFB281" s="32"/>
      <c r="XFC281" s="32"/>
      <c r="XFD281" s="32"/>
    </row>
    <row r="282" s="40" customFormat="true" ht="18.75" hidden="false" customHeight="true" outlineLevel="0" collapsed="false">
      <c r="A282" s="42" t="s">
        <v>1071</v>
      </c>
      <c r="B282" s="37" t="s">
        <v>180</v>
      </c>
      <c r="C282" s="42"/>
      <c r="D282" s="38" t="s">
        <v>181</v>
      </c>
      <c r="E282" s="38" t="s">
        <v>1072</v>
      </c>
      <c r="F282" s="38"/>
      <c r="G282" s="59" t="n">
        <v>36865</v>
      </c>
      <c r="H282" s="39"/>
      <c r="I282" s="39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1" t="n">
        <v>534.46</v>
      </c>
      <c r="V282" s="62"/>
      <c r="W282" s="62"/>
      <c r="X282" s="62"/>
      <c r="Y282" s="62"/>
      <c r="Z282" s="62"/>
      <c r="AA282" s="60"/>
      <c r="XEN282" s="32"/>
      <c r="XEO282" s="32"/>
      <c r="XEP282" s="32"/>
      <c r="XEQ282" s="32"/>
      <c r="XER282" s="32"/>
      <c r="XES282" s="32"/>
      <c r="XET282" s="32"/>
      <c r="XEU282" s="32"/>
      <c r="XEV282" s="32"/>
      <c r="XEW282" s="32"/>
      <c r="XEX282" s="32"/>
      <c r="XEY282" s="32"/>
      <c r="XEZ282" s="32"/>
      <c r="XFA282" s="32"/>
      <c r="XFB282" s="32"/>
      <c r="XFC282" s="32"/>
      <c r="XFD282" s="32"/>
    </row>
    <row r="283" s="40" customFormat="true" ht="18.75" hidden="false" customHeight="true" outlineLevel="0" collapsed="false">
      <c r="A283" s="42" t="s">
        <v>1073</v>
      </c>
      <c r="B283" s="37" t="s">
        <v>180</v>
      </c>
      <c r="C283" s="42"/>
      <c r="D283" s="38" t="s">
        <v>181</v>
      </c>
      <c r="E283" s="38" t="s">
        <v>1074</v>
      </c>
      <c r="F283" s="38"/>
      <c r="G283" s="65" t="n">
        <v>32865</v>
      </c>
      <c r="H283" s="39"/>
      <c r="I283" s="39"/>
      <c r="J283" s="60"/>
      <c r="K283" s="60"/>
      <c r="L283" s="60"/>
      <c r="M283" s="60"/>
      <c r="N283" s="60"/>
      <c r="O283" s="60"/>
      <c r="P283" s="60"/>
      <c r="Q283" s="60"/>
      <c r="R283" s="60"/>
      <c r="S283" s="60"/>
      <c r="T283" s="60"/>
      <c r="U283" s="61" t="n">
        <v>534.46</v>
      </c>
      <c r="V283" s="62"/>
      <c r="W283" s="62"/>
      <c r="X283" s="62"/>
      <c r="Y283" s="62"/>
      <c r="Z283" s="62"/>
      <c r="AA283" s="60"/>
      <c r="XEN283" s="32"/>
      <c r="XEO283" s="32"/>
      <c r="XEP283" s="32"/>
      <c r="XEQ283" s="32"/>
      <c r="XER283" s="32"/>
      <c r="XES283" s="32"/>
      <c r="XET283" s="32"/>
      <c r="XEU283" s="32"/>
      <c r="XEV283" s="32"/>
      <c r="XEW283" s="32"/>
      <c r="XEX283" s="32"/>
      <c r="XEY283" s="32"/>
      <c r="XEZ283" s="32"/>
      <c r="XFA283" s="32"/>
      <c r="XFB283" s="32"/>
      <c r="XFC283" s="32"/>
      <c r="XFD283" s="32"/>
    </row>
    <row r="284" s="40" customFormat="true" ht="18.75" hidden="false" customHeight="true" outlineLevel="0" collapsed="false">
      <c r="A284" s="42" t="s">
        <v>1075</v>
      </c>
      <c r="B284" s="37" t="s">
        <v>180</v>
      </c>
      <c r="C284" s="42"/>
      <c r="D284" s="38" t="s">
        <v>181</v>
      </c>
      <c r="E284" s="38" t="s">
        <v>1076</v>
      </c>
      <c r="F284" s="38"/>
      <c r="G284" s="65" t="s">
        <v>1077</v>
      </c>
      <c r="H284" s="39"/>
      <c r="I284" s="39"/>
      <c r="J284" s="60"/>
      <c r="K284" s="60"/>
      <c r="L284" s="60"/>
      <c r="M284" s="60"/>
      <c r="N284" s="60"/>
      <c r="O284" s="60"/>
      <c r="P284" s="60"/>
      <c r="Q284" s="60"/>
      <c r="R284" s="60"/>
      <c r="S284" s="60"/>
      <c r="T284" s="60"/>
      <c r="U284" s="61" t="n">
        <v>534.46</v>
      </c>
      <c r="V284" s="62"/>
      <c r="W284" s="62"/>
      <c r="X284" s="62"/>
      <c r="Y284" s="62"/>
      <c r="Z284" s="62"/>
      <c r="AA284" s="60"/>
      <c r="XEN284" s="32"/>
      <c r="XEO284" s="32"/>
      <c r="XEP284" s="32"/>
      <c r="XEQ284" s="32"/>
      <c r="XER284" s="32"/>
      <c r="XES284" s="32"/>
      <c r="XET284" s="32"/>
      <c r="XEU284" s="32"/>
      <c r="XEV284" s="32"/>
      <c r="XEW284" s="32"/>
      <c r="XEX284" s="32"/>
      <c r="XEY284" s="32"/>
      <c r="XEZ284" s="32"/>
      <c r="XFA284" s="32"/>
      <c r="XFB284" s="32"/>
      <c r="XFC284" s="32"/>
      <c r="XFD284" s="32"/>
    </row>
    <row r="285" s="40" customFormat="true" ht="18.75" hidden="false" customHeight="true" outlineLevel="0" collapsed="false">
      <c r="A285" s="39" t="s">
        <v>1078</v>
      </c>
      <c r="B285" s="43" t="s">
        <v>351</v>
      </c>
      <c r="C285" s="39"/>
      <c r="D285" s="43" t="s">
        <v>352</v>
      </c>
      <c r="E285" s="39" t="s">
        <v>1079</v>
      </c>
      <c r="F285" s="39"/>
      <c r="G285" s="70" t="s">
        <v>1080</v>
      </c>
      <c r="H285" s="62" t="n">
        <v>608.12</v>
      </c>
      <c r="I285" s="62"/>
      <c r="J285" s="62"/>
      <c r="K285" s="62"/>
      <c r="L285" s="60"/>
      <c r="U285" s="62" t="n">
        <v>608.12</v>
      </c>
      <c r="Z285" s="62"/>
      <c r="XEN285" s="32"/>
      <c r="XEO285" s="32"/>
      <c r="XEP285" s="32"/>
      <c r="XEQ285" s="32"/>
      <c r="XER285" s="32"/>
      <c r="XES285" s="32"/>
      <c r="XET285" s="32"/>
      <c r="XEU285" s="32"/>
      <c r="XEV285" s="32"/>
      <c r="XEW285" s="32"/>
      <c r="XEX285" s="32"/>
      <c r="XEY285" s="32"/>
      <c r="XEZ285" s="32"/>
      <c r="XFA285" s="32"/>
      <c r="XFB285" s="32"/>
      <c r="XFC285" s="32"/>
      <c r="XFD285" s="32"/>
    </row>
    <row r="286" s="40" customFormat="true" ht="18.75" hidden="false" customHeight="true" outlineLevel="0" collapsed="false">
      <c r="A286" s="42" t="s">
        <v>1081</v>
      </c>
      <c r="B286" s="42" t="s">
        <v>198</v>
      </c>
      <c r="C286" s="42"/>
      <c r="D286" s="42" t="s">
        <v>1082</v>
      </c>
      <c r="E286" s="42" t="s">
        <v>1083</v>
      </c>
      <c r="F286" s="42"/>
      <c r="G286" s="65" t="s">
        <v>1084</v>
      </c>
      <c r="H286" s="39"/>
      <c r="I286" s="39"/>
      <c r="J286" s="60"/>
      <c r="K286" s="60"/>
      <c r="L286" s="60"/>
      <c r="M286" s="60"/>
      <c r="N286" s="60"/>
      <c r="O286" s="60"/>
      <c r="P286" s="60"/>
      <c r="Q286" s="60"/>
      <c r="R286" s="60"/>
      <c r="S286" s="60"/>
      <c r="T286" s="60"/>
      <c r="U286" s="61" t="n">
        <v>608.12</v>
      </c>
      <c r="V286" s="62"/>
      <c r="W286" s="62"/>
      <c r="X286" s="62"/>
      <c r="Y286" s="62"/>
      <c r="Z286" s="62"/>
      <c r="AA286" s="60"/>
      <c r="XEN286" s="32"/>
      <c r="XEO286" s="32"/>
      <c r="XEP286" s="32"/>
      <c r="XEQ286" s="32"/>
      <c r="XER286" s="32"/>
      <c r="XES286" s="32"/>
      <c r="XET286" s="32"/>
      <c r="XEU286" s="32"/>
      <c r="XEV286" s="32"/>
      <c r="XEW286" s="32"/>
      <c r="XEX286" s="32"/>
      <c r="XEY286" s="32"/>
      <c r="XEZ286" s="32"/>
      <c r="XFA286" s="32"/>
      <c r="XFB286" s="32"/>
      <c r="XFC286" s="32"/>
      <c r="XFD286" s="32"/>
    </row>
    <row r="287" s="40" customFormat="true" ht="18.75" hidden="false" customHeight="true" outlineLevel="0" collapsed="false">
      <c r="A287" s="42" t="s">
        <v>1085</v>
      </c>
      <c r="B287" s="37" t="s">
        <v>182</v>
      </c>
      <c r="C287" s="42"/>
      <c r="D287" s="38" t="s">
        <v>183</v>
      </c>
      <c r="E287" s="38" t="s">
        <v>1086</v>
      </c>
      <c r="F287" s="38"/>
      <c r="G287" s="59" t="n">
        <v>28375</v>
      </c>
      <c r="H287" s="39"/>
      <c r="I287" s="39"/>
      <c r="J287" s="60"/>
      <c r="K287" s="60"/>
      <c r="L287" s="60"/>
      <c r="M287" s="60"/>
      <c r="N287" s="60"/>
      <c r="O287" s="60"/>
      <c r="P287" s="60"/>
      <c r="Q287" s="60"/>
      <c r="R287" s="60"/>
      <c r="S287" s="60"/>
      <c r="T287" s="60"/>
      <c r="U287" s="61" t="n">
        <v>548.21</v>
      </c>
      <c r="V287" s="62"/>
      <c r="W287" s="62"/>
      <c r="X287" s="62"/>
      <c r="Y287" s="62"/>
      <c r="Z287" s="62"/>
      <c r="AA287" s="60"/>
      <c r="XEN287" s="32"/>
      <c r="XEO287" s="32"/>
      <c r="XEP287" s="32"/>
      <c r="XEQ287" s="32"/>
      <c r="XER287" s="32"/>
      <c r="XES287" s="32"/>
      <c r="XET287" s="32"/>
      <c r="XEU287" s="32"/>
      <c r="XEV287" s="32"/>
      <c r="XEW287" s="32"/>
      <c r="XEX287" s="32"/>
      <c r="XEY287" s="32"/>
      <c r="XEZ287" s="32"/>
      <c r="XFA287" s="32"/>
      <c r="XFB287" s="32"/>
      <c r="XFC287" s="32"/>
      <c r="XFD287" s="32"/>
    </row>
    <row r="288" s="40" customFormat="true" ht="18.75" hidden="false" customHeight="true" outlineLevel="0" collapsed="false">
      <c r="A288" s="42" t="s">
        <v>1087</v>
      </c>
      <c r="B288" s="37" t="s">
        <v>182</v>
      </c>
      <c r="C288" s="42"/>
      <c r="D288" s="38" t="s">
        <v>183</v>
      </c>
      <c r="E288" s="38" t="s">
        <v>1088</v>
      </c>
      <c r="F288" s="38"/>
      <c r="G288" s="59" t="n">
        <v>25998</v>
      </c>
      <c r="H288" s="39"/>
      <c r="I288" s="39"/>
      <c r="J288" s="60"/>
      <c r="K288" s="60"/>
      <c r="L288" s="60"/>
      <c r="M288" s="60"/>
      <c r="N288" s="60"/>
      <c r="O288" s="60"/>
      <c r="P288" s="60"/>
      <c r="Q288" s="60"/>
      <c r="R288" s="60"/>
      <c r="S288" s="60"/>
      <c r="T288" s="60"/>
      <c r="U288" s="61" t="n">
        <v>548.21</v>
      </c>
      <c r="V288" s="62"/>
      <c r="W288" s="62"/>
      <c r="X288" s="62"/>
      <c r="Y288" s="62"/>
      <c r="Z288" s="62"/>
      <c r="AA288" s="60"/>
      <c r="XEN288" s="32"/>
      <c r="XEO288" s="32"/>
      <c r="XEP288" s="32"/>
      <c r="XEQ288" s="32"/>
      <c r="XER288" s="32"/>
      <c r="XES288" s="32"/>
      <c r="XET288" s="32"/>
      <c r="XEU288" s="32"/>
      <c r="XEV288" s="32"/>
      <c r="XEW288" s="32"/>
      <c r="XEX288" s="32"/>
      <c r="XEY288" s="32"/>
      <c r="XEZ288" s="32"/>
      <c r="XFA288" s="32"/>
      <c r="XFB288" s="32"/>
      <c r="XFC288" s="32"/>
      <c r="XFD288" s="32"/>
    </row>
    <row r="289" s="40" customFormat="true" ht="18.75" hidden="false" customHeight="true" outlineLevel="0" collapsed="false">
      <c r="A289" s="42" t="s">
        <v>1089</v>
      </c>
      <c r="B289" s="37" t="s">
        <v>182</v>
      </c>
      <c r="C289" s="42"/>
      <c r="D289" s="38" t="s">
        <v>183</v>
      </c>
      <c r="E289" s="38" t="s">
        <v>1090</v>
      </c>
      <c r="F289" s="38"/>
      <c r="G289" s="59" t="n">
        <v>34829</v>
      </c>
      <c r="H289" s="39"/>
      <c r="I289" s="39"/>
      <c r="J289" s="60"/>
      <c r="K289" s="64"/>
      <c r="L289" s="60"/>
      <c r="M289" s="60"/>
      <c r="N289" s="60"/>
      <c r="O289" s="60"/>
      <c r="P289" s="60"/>
      <c r="Q289" s="60"/>
      <c r="R289" s="60"/>
      <c r="S289" s="60"/>
      <c r="T289" s="60"/>
      <c r="U289" s="61" t="n">
        <v>548.21</v>
      </c>
      <c r="V289" s="62"/>
      <c r="W289" s="62"/>
      <c r="X289" s="62"/>
      <c r="Y289" s="62"/>
      <c r="Z289" s="62"/>
      <c r="AA289" s="60"/>
      <c r="XEN289" s="32"/>
      <c r="XEO289" s="32"/>
      <c r="XEP289" s="32"/>
      <c r="XEQ289" s="32"/>
      <c r="XER289" s="32"/>
      <c r="XES289" s="32"/>
      <c r="XET289" s="32"/>
      <c r="XEU289" s="32"/>
      <c r="XEV289" s="32"/>
      <c r="XEW289" s="32"/>
      <c r="XEX289" s="32"/>
      <c r="XEY289" s="32"/>
      <c r="XEZ289" s="32"/>
      <c r="XFA289" s="32"/>
      <c r="XFB289" s="32"/>
      <c r="XFC289" s="32"/>
      <c r="XFD289" s="32"/>
    </row>
    <row r="290" s="40" customFormat="true" ht="18.75" hidden="false" customHeight="true" outlineLevel="0" collapsed="false">
      <c r="A290" s="42" t="s">
        <v>1091</v>
      </c>
      <c r="B290" s="37" t="s">
        <v>182</v>
      </c>
      <c r="C290" s="42"/>
      <c r="D290" s="38" t="s">
        <v>183</v>
      </c>
      <c r="E290" s="38" t="s">
        <v>1092</v>
      </c>
      <c r="F290" s="38"/>
      <c r="G290" s="59" t="s">
        <v>1093</v>
      </c>
      <c r="H290" s="39"/>
      <c r="I290" s="39"/>
      <c r="J290" s="60"/>
      <c r="K290" s="60"/>
      <c r="L290" s="60"/>
      <c r="M290" s="60"/>
      <c r="N290" s="60"/>
      <c r="O290" s="60"/>
      <c r="P290" s="60"/>
      <c r="Q290" s="60"/>
      <c r="R290" s="60"/>
      <c r="S290" s="60"/>
      <c r="T290" s="60"/>
      <c r="U290" s="61" t="n">
        <v>548.21</v>
      </c>
      <c r="V290" s="62"/>
      <c r="W290" s="62"/>
      <c r="X290" s="62"/>
      <c r="Y290" s="62"/>
      <c r="Z290" s="62"/>
      <c r="AA290" s="60"/>
      <c r="XEN290" s="32"/>
      <c r="XEO290" s="32"/>
      <c r="XEP290" s="32"/>
      <c r="XEQ290" s="32"/>
      <c r="XER290" s="32"/>
      <c r="XES290" s="32"/>
      <c r="XET290" s="32"/>
      <c r="XEU290" s="32"/>
      <c r="XEV290" s="32"/>
      <c r="XEW290" s="32"/>
      <c r="XEX290" s="32"/>
      <c r="XEY290" s="32"/>
      <c r="XEZ290" s="32"/>
      <c r="XFA290" s="32"/>
      <c r="XFB290" s="32"/>
      <c r="XFC290" s="32"/>
      <c r="XFD290" s="32"/>
    </row>
    <row r="291" s="40" customFormat="true" ht="18.75" hidden="false" customHeight="true" outlineLevel="0" collapsed="false">
      <c r="A291" s="42" t="s">
        <v>1094</v>
      </c>
      <c r="B291" s="37" t="s">
        <v>182</v>
      </c>
      <c r="C291" s="42"/>
      <c r="D291" s="38" t="s">
        <v>183</v>
      </c>
      <c r="E291" s="38" t="s">
        <v>1095</v>
      </c>
      <c r="F291" s="38"/>
      <c r="G291" s="59" t="n">
        <v>30927</v>
      </c>
      <c r="H291" s="39"/>
      <c r="I291" s="39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1" t="n">
        <v>548.21</v>
      </c>
      <c r="V291" s="62"/>
      <c r="W291" s="62"/>
      <c r="X291" s="62"/>
      <c r="Y291" s="62"/>
      <c r="Z291" s="62"/>
      <c r="AA291" s="60"/>
      <c r="XEN291" s="32"/>
      <c r="XEO291" s="32"/>
      <c r="XEP291" s="32"/>
      <c r="XEQ291" s="32"/>
      <c r="XER291" s="32"/>
      <c r="XES291" s="32"/>
      <c r="XET291" s="32"/>
      <c r="XEU291" s="32"/>
      <c r="XEV291" s="32"/>
      <c r="XEW291" s="32"/>
      <c r="XEX291" s="32"/>
      <c r="XEY291" s="32"/>
      <c r="XEZ291" s="32"/>
      <c r="XFA291" s="32"/>
      <c r="XFB291" s="32"/>
      <c r="XFC291" s="32"/>
      <c r="XFD291" s="32"/>
    </row>
    <row r="292" s="40" customFormat="true" ht="18.75" hidden="false" customHeight="true" outlineLevel="0" collapsed="false">
      <c r="A292" s="42" t="s">
        <v>1096</v>
      </c>
      <c r="B292" s="39" t="s">
        <v>182</v>
      </c>
      <c r="C292" s="42"/>
      <c r="D292" s="38" t="s">
        <v>183</v>
      </c>
      <c r="E292" s="38" t="s">
        <v>1097</v>
      </c>
      <c r="F292" s="38"/>
      <c r="G292" s="59" t="n">
        <v>37598</v>
      </c>
      <c r="H292" s="39"/>
      <c r="I292" s="39"/>
      <c r="J292" s="60"/>
      <c r="K292" s="60"/>
      <c r="L292" s="60"/>
      <c r="M292" s="60"/>
      <c r="N292" s="60"/>
      <c r="O292" s="60"/>
      <c r="P292" s="60"/>
      <c r="Q292" s="60"/>
      <c r="R292" s="60"/>
      <c r="S292" s="60"/>
      <c r="T292" s="60"/>
      <c r="U292" s="61" t="n">
        <v>548.21</v>
      </c>
      <c r="V292" s="62"/>
      <c r="W292" s="62"/>
      <c r="X292" s="62"/>
      <c r="Y292" s="62"/>
      <c r="Z292" s="62"/>
      <c r="AA292" s="60"/>
      <c r="XEN292" s="32"/>
      <c r="XEO292" s="32"/>
      <c r="XEP292" s="32"/>
      <c r="XEQ292" s="32"/>
      <c r="XER292" s="32"/>
      <c r="XES292" s="32"/>
      <c r="XET292" s="32"/>
      <c r="XEU292" s="32"/>
      <c r="XEV292" s="32"/>
      <c r="XEW292" s="32"/>
      <c r="XEX292" s="32"/>
      <c r="XEY292" s="32"/>
      <c r="XEZ292" s="32"/>
      <c r="XFA292" s="32"/>
      <c r="XFB292" s="32"/>
      <c r="XFC292" s="32"/>
      <c r="XFD292" s="32"/>
    </row>
    <row r="293" s="40" customFormat="true" ht="18.75" hidden="false" customHeight="true" outlineLevel="0" collapsed="false">
      <c r="A293" s="42" t="s">
        <v>1098</v>
      </c>
      <c r="B293" s="37" t="s">
        <v>182</v>
      </c>
      <c r="C293" s="38"/>
      <c r="D293" s="38" t="s">
        <v>183</v>
      </c>
      <c r="E293" s="38" t="s">
        <v>1099</v>
      </c>
      <c r="F293" s="38"/>
      <c r="G293" s="59" t="n">
        <v>31826</v>
      </c>
      <c r="H293" s="39"/>
      <c r="I293" s="39"/>
      <c r="J293" s="60"/>
      <c r="K293" s="60"/>
      <c r="L293" s="60"/>
      <c r="M293" s="60"/>
      <c r="N293" s="60"/>
      <c r="O293" s="60"/>
      <c r="P293" s="60"/>
      <c r="Q293" s="60"/>
      <c r="R293" s="60"/>
      <c r="S293" s="60"/>
      <c r="T293" s="60"/>
      <c r="U293" s="61" t="n">
        <v>548.21</v>
      </c>
      <c r="V293" s="62"/>
      <c r="W293" s="62"/>
      <c r="X293" s="62"/>
      <c r="Y293" s="62"/>
      <c r="Z293" s="62"/>
      <c r="AA293" s="60"/>
      <c r="XEN293" s="32"/>
      <c r="XEO293" s="32"/>
      <c r="XEP293" s="32"/>
      <c r="XEQ293" s="32"/>
      <c r="XER293" s="32"/>
      <c r="XES293" s="32"/>
      <c r="XET293" s="32"/>
      <c r="XEU293" s="32"/>
      <c r="XEV293" s="32"/>
      <c r="XEW293" s="32"/>
      <c r="XEX293" s="32"/>
      <c r="XEY293" s="32"/>
      <c r="XEZ293" s="32"/>
      <c r="XFA293" s="32"/>
      <c r="XFB293" s="32"/>
      <c r="XFC293" s="32"/>
      <c r="XFD293" s="32"/>
    </row>
    <row r="294" s="40" customFormat="true" ht="18.75" hidden="false" customHeight="true" outlineLevel="0" collapsed="false">
      <c r="A294" s="42" t="s">
        <v>1100</v>
      </c>
      <c r="B294" s="37" t="s">
        <v>182</v>
      </c>
      <c r="C294" s="42"/>
      <c r="D294" s="38" t="s">
        <v>183</v>
      </c>
      <c r="E294" s="38" t="s">
        <v>1101</v>
      </c>
      <c r="F294" s="38"/>
      <c r="G294" s="59" t="n">
        <v>27190</v>
      </c>
      <c r="H294" s="39"/>
      <c r="I294" s="39"/>
      <c r="J294" s="60"/>
      <c r="K294" s="60"/>
      <c r="L294" s="60"/>
      <c r="M294" s="60"/>
      <c r="N294" s="60"/>
      <c r="O294" s="60"/>
      <c r="P294" s="60"/>
      <c r="Q294" s="60"/>
      <c r="R294" s="60"/>
      <c r="S294" s="60"/>
      <c r="T294" s="60"/>
      <c r="U294" s="61" t="n">
        <v>548.21</v>
      </c>
      <c r="V294" s="62"/>
      <c r="W294" s="62"/>
      <c r="X294" s="62"/>
      <c r="Y294" s="62"/>
      <c r="Z294" s="62"/>
      <c r="AA294" s="60"/>
      <c r="XEN294" s="32"/>
      <c r="XEO294" s="32"/>
      <c r="XEP294" s="32"/>
      <c r="XEQ294" s="32"/>
      <c r="XER294" s="32"/>
      <c r="XES294" s="32"/>
      <c r="XET294" s="32"/>
      <c r="XEU294" s="32"/>
      <c r="XEV294" s="32"/>
      <c r="XEW294" s="32"/>
      <c r="XEX294" s="32"/>
      <c r="XEY294" s="32"/>
      <c r="XEZ294" s="32"/>
      <c r="XFA294" s="32"/>
      <c r="XFB294" s="32"/>
      <c r="XFC294" s="32"/>
      <c r="XFD294" s="32"/>
    </row>
    <row r="295" s="40" customFormat="true" ht="18.75" hidden="false" customHeight="true" outlineLevel="0" collapsed="false">
      <c r="A295" s="42" t="s">
        <v>1102</v>
      </c>
      <c r="B295" s="37" t="s">
        <v>182</v>
      </c>
      <c r="C295" s="42"/>
      <c r="D295" s="38" t="s">
        <v>183</v>
      </c>
      <c r="E295" s="38" t="s">
        <v>1103</v>
      </c>
      <c r="F295" s="38"/>
      <c r="G295" s="65" t="n">
        <v>34246</v>
      </c>
      <c r="H295" s="39"/>
      <c r="I295" s="39"/>
      <c r="J295" s="60"/>
      <c r="K295" s="60"/>
      <c r="L295" s="60"/>
      <c r="M295" s="60"/>
      <c r="N295" s="60"/>
      <c r="O295" s="60"/>
      <c r="P295" s="60"/>
      <c r="Q295" s="60"/>
      <c r="R295" s="60"/>
      <c r="S295" s="60"/>
      <c r="T295" s="60"/>
      <c r="U295" s="61" t="n">
        <v>548.21</v>
      </c>
      <c r="V295" s="62"/>
      <c r="W295" s="62"/>
      <c r="X295" s="62"/>
      <c r="Y295" s="62"/>
      <c r="Z295" s="62"/>
      <c r="AA295" s="60"/>
      <c r="XEN295" s="32"/>
      <c r="XEO295" s="32"/>
      <c r="XEP295" s="32"/>
      <c r="XEQ295" s="32"/>
      <c r="XER295" s="32"/>
      <c r="XES295" s="32"/>
      <c r="XET295" s="32"/>
      <c r="XEU295" s="32"/>
      <c r="XEV295" s="32"/>
      <c r="XEW295" s="32"/>
      <c r="XEX295" s="32"/>
      <c r="XEY295" s="32"/>
      <c r="XEZ295" s="32"/>
      <c r="XFA295" s="32"/>
      <c r="XFB295" s="32"/>
      <c r="XFC295" s="32"/>
      <c r="XFD295" s="32"/>
    </row>
    <row r="296" s="40" customFormat="true" ht="18.75" hidden="false" customHeight="true" outlineLevel="0" collapsed="false">
      <c r="A296" s="42" t="s">
        <v>1104</v>
      </c>
      <c r="B296" s="37" t="s">
        <v>182</v>
      </c>
      <c r="C296" s="42"/>
      <c r="D296" s="42" t="s">
        <v>183</v>
      </c>
      <c r="E296" s="42" t="s">
        <v>1105</v>
      </c>
      <c r="F296" s="42"/>
      <c r="G296" s="65" t="s">
        <v>1106</v>
      </c>
      <c r="H296" s="39"/>
      <c r="I296" s="39"/>
      <c r="J296" s="60"/>
      <c r="K296" s="60"/>
      <c r="L296" s="60"/>
      <c r="M296" s="60"/>
      <c r="N296" s="60"/>
      <c r="O296" s="60"/>
      <c r="P296" s="60"/>
      <c r="Q296" s="60"/>
      <c r="R296" s="60"/>
      <c r="S296" s="60"/>
      <c r="T296" s="60"/>
      <c r="U296" s="61" t="n">
        <v>548.21</v>
      </c>
      <c r="V296" s="62"/>
      <c r="W296" s="62"/>
      <c r="X296" s="62"/>
      <c r="Y296" s="62"/>
      <c r="Z296" s="62"/>
      <c r="AA296" s="60"/>
      <c r="XEN296" s="32"/>
      <c r="XEO296" s="32"/>
      <c r="XEP296" s="32"/>
      <c r="XEQ296" s="32"/>
      <c r="XER296" s="32"/>
      <c r="XES296" s="32"/>
      <c r="XET296" s="32"/>
      <c r="XEU296" s="32"/>
      <c r="XEV296" s="32"/>
      <c r="XEW296" s="32"/>
      <c r="XEX296" s="32"/>
      <c r="XEY296" s="32"/>
      <c r="XEZ296" s="32"/>
      <c r="XFA296" s="32"/>
      <c r="XFB296" s="32"/>
      <c r="XFC296" s="32"/>
      <c r="XFD296" s="32"/>
    </row>
    <row r="297" s="40" customFormat="true" ht="18.75" hidden="false" customHeight="true" outlineLevel="0" collapsed="false">
      <c r="A297" s="42" t="s">
        <v>1107</v>
      </c>
      <c r="B297" s="37" t="s">
        <v>182</v>
      </c>
      <c r="C297" s="42"/>
      <c r="D297" s="38" t="s">
        <v>183</v>
      </c>
      <c r="E297" s="38" t="s">
        <v>1108</v>
      </c>
      <c r="F297" s="38"/>
      <c r="G297" s="59" t="n">
        <v>36354</v>
      </c>
      <c r="H297" s="39"/>
      <c r="I297" s="39"/>
      <c r="J297" s="60"/>
      <c r="K297" s="60"/>
      <c r="L297" s="60"/>
      <c r="M297" s="60"/>
      <c r="N297" s="60"/>
      <c r="O297" s="60"/>
      <c r="P297" s="60"/>
      <c r="Q297" s="60"/>
      <c r="R297" s="60"/>
      <c r="S297" s="60"/>
      <c r="T297" s="60"/>
      <c r="U297" s="61" t="n">
        <v>1096.42</v>
      </c>
      <c r="V297" s="62"/>
      <c r="W297" s="62"/>
      <c r="X297" s="62"/>
      <c r="Y297" s="62"/>
      <c r="Z297" s="62"/>
      <c r="AA297" s="60"/>
      <c r="XEN297" s="32"/>
      <c r="XEO297" s="32"/>
      <c r="XEP297" s="32"/>
      <c r="XEQ297" s="32"/>
      <c r="XER297" s="32"/>
      <c r="XES297" s="32"/>
      <c r="XET297" s="32"/>
      <c r="XEU297" s="32"/>
      <c r="XEV297" s="32"/>
      <c r="XEW297" s="32"/>
      <c r="XEX297" s="32"/>
      <c r="XEY297" s="32"/>
      <c r="XEZ297" s="32"/>
      <c r="XFA297" s="32"/>
      <c r="XFB297" s="32"/>
      <c r="XFC297" s="32"/>
      <c r="XFD297" s="32"/>
    </row>
    <row r="298" s="63" customFormat="true" ht="18.75" hidden="false" customHeight="true" outlineLevel="0" collapsed="false">
      <c r="A298" s="42" t="s">
        <v>1109</v>
      </c>
      <c r="B298" s="37" t="n">
        <v>54090912000120</v>
      </c>
      <c r="C298" s="42"/>
      <c r="D298" s="42" t="s">
        <v>153</v>
      </c>
      <c r="E298" s="42" t="s">
        <v>1110</v>
      </c>
      <c r="F298" s="42"/>
      <c r="G298" s="65" t="s">
        <v>1111</v>
      </c>
      <c r="H298" s="39"/>
      <c r="I298" s="39"/>
      <c r="J298" s="60"/>
      <c r="K298" s="60"/>
      <c r="L298" s="60"/>
      <c r="M298" s="60"/>
      <c r="N298" s="60"/>
      <c r="O298" s="60"/>
      <c r="P298" s="60"/>
      <c r="Q298" s="60"/>
      <c r="R298" s="60"/>
      <c r="S298" s="60"/>
      <c r="T298" s="60"/>
      <c r="U298" s="61" t="n">
        <v>608.12</v>
      </c>
      <c r="V298" s="62"/>
      <c r="W298" s="62"/>
      <c r="X298" s="62"/>
      <c r="Y298" s="62"/>
      <c r="Z298" s="62"/>
      <c r="AA298" s="60"/>
      <c r="XEN298" s="32"/>
      <c r="XEO298" s="32"/>
      <c r="XEP298" s="32"/>
      <c r="XEQ298" s="32"/>
      <c r="XER298" s="32"/>
      <c r="XES298" s="32"/>
      <c r="XET298" s="32"/>
      <c r="XEU298" s="32"/>
      <c r="XEV298" s="32"/>
      <c r="XEW298" s="32"/>
      <c r="XEX298" s="32"/>
      <c r="XEY298" s="32"/>
      <c r="XEZ298" s="32"/>
      <c r="XFA298" s="32"/>
      <c r="XFB298" s="32"/>
      <c r="XFC298" s="32"/>
      <c r="XFD298" s="32"/>
    </row>
    <row r="299" s="40" customFormat="true" ht="18.75" hidden="false" customHeight="true" outlineLevel="0" collapsed="false">
      <c r="A299" s="42" t="s">
        <v>1112</v>
      </c>
      <c r="B299" s="37" t="n">
        <v>54090912000120</v>
      </c>
      <c r="C299" s="42"/>
      <c r="D299" s="42" t="s">
        <v>153</v>
      </c>
      <c r="E299" s="42" t="s">
        <v>1113</v>
      </c>
      <c r="F299" s="42"/>
      <c r="G299" s="65" t="s">
        <v>1114</v>
      </c>
      <c r="H299" s="39"/>
      <c r="I299" s="39"/>
      <c r="J299" s="60"/>
      <c r="K299" s="60"/>
      <c r="L299" s="60"/>
      <c r="M299" s="60"/>
      <c r="N299" s="60"/>
      <c r="O299" s="60"/>
      <c r="P299" s="60"/>
      <c r="Q299" s="60"/>
      <c r="R299" s="60"/>
      <c r="S299" s="60"/>
      <c r="T299" s="60"/>
      <c r="U299" s="61" t="n">
        <v>608.12</v>
      </c>
      <c r="V299" s="62"/>
      <c r="W299" s="62"/>
      <c r="X299" s="62"/>
      <c r="Y299" s="62"/>
      <c r="Z299" s="62"/>
      <c r="AA299" s="60"/>
      <c r="XEN299" s="32"/>
      <c r="XEO299" s="32"/>
      <c r="XEP299" s="32"/>
      <c r="XEQ299" s="32"/>
      <c r="XER299" s="32"/>
      <c r="XES299" s="32"/>
      <c r="XET299" s="32"/>
      <c r="XEU299" s="32"/>
      <c r="XEV299" s="32"/>
      <c r="XEW299" s="32"/>
      <c r="XEX299" s="32"/>
      <c r="XEY299" s="32"/>
      <c r="XEZ299" s="32"/>
      <c r="XFA299" s="32"/>
      <c r="XFB299" s="32"/>
      <c r="XFC299" s="32"/>
      <c r="XFD299" s="32"/>
    </row>
    <row r="300" s="40" customFormat="true" ht="18.75" hidden="false" customHeight="true" outlineLevel="0" collapsed="false">
      <c r="A300" s="42" t="s">
        <v>1115</v>
      </c>
      <c r="B300" s="37" t="n">
        <v>54090912000120</v>
      </c>
      <c r="C300" s="42"/>
      <c r="D300" s="42" t="s">
        <v>153</v>
      </c>
      <c r="E300" s="42" t="s">
        <v>1116</v>
      </c>
      <c r="F300" s="42"/>
      <c r="G300" s="65" t="s">
        <v>1117</v>
      </c>
      <c r="H300" s="39"/>
      <c r="I300" s="39"/>
      <c r="J300" s="60"/>
      <c r="K300" s="60"/>
      <c r="L300" s="60"/>
      <c r="M300" s="60"/>
      <c r="N300" s="60"/>
      <c r="O300" s="60"/>
      <c r="P300" s="60"/>
      <c r="Q300" s="60"/>
      <c r="R300" s="60"/>
      <c r="S300" s="60"/>
      <c r="T300" s="60"/>
      <c r="U300" s="61" t="n">
        <v>608.12</v>
      </c>
      <c r="V300" s="62"/>
      <c r="W300" s="62"/>
      <c r="X300" s="62"/>
      <c r="Y300" s="62"/>
      <c r="Z300" s="62"/>
      <c r="AA300" s="60"/>
      <c r="XEN300" s="32"/>
      <c r="XEO300" s="32"/>
      <c r="XEP300" s="32"/>
      <c r="XEQ300" s="32"/>
      <c r="XER300" s="32"/>
      <c r="XES300" s="32"/>
      <c r="XET300" s="32"/>
      <c r="XEU300" s="32"/>
      <c r="XEV300" s="32"/>
      <c r="XEW300" s="32"/>
      <c r="XEX300" s="32"/>
      <c r="XEY300" s="32"/>
      <c r="XEZ300" s="32"/>
      <c r="XFA300" s="32"/>
      <c r="XFB300" s="32"/>
      <c r="XFC300" s="32"/>
      <c r="XFD300" s="32"/>
    </row>
    <row r="301" s="40" customFormat="true" ht="18.75" hidden="false" customHeight="true" outlineLevel="0" collapsed="false">
      <c r="A301" s="42" t="s">
        <v>1118</v>
      </c>
      <c r="B301" s="37" t="n">
        <v>54090912000120</v>
      </c>
      <c r="C301" s="42"/>
      <c r="D301" s="42" t="s">
        <v>153</v>
      </c>
      <c r="E301" s="42" t="s">
        <v>1119</v>
      </c>
      <c r="F301" s="42"/>
      <c r="G301" s="70" t="s">
        <v>1120</v>
      </c>
      <c r="H301" s="39"/>
      <c r="I301" s="39"/>
      <c r="J301" s="60"/>
      <c r="K301" s="60"/>
      <c r="L301" s="60"/>
      <c r="M301" s="60"/>
      <c r="N301" s="60"/>
      <c r="O301" s="60"/>
      <c r="P301" s="60"/>
      <c r="Q301" s="60"/>
      <c r="R301" s="60"/>
      <c r="S301" s="60"/>
      <c r="T301" s="60"/>
      <c r="U301" s="61" t="n">
        <v>608.12</v>
      </c>
      <c r="V301" s="62"/>
      <c r="W301" s="62"/>
      <c r="X301" s="62"/>
      <c r="Y301" s="62"/>
      <c r="Z301" s="62"/>
      <c r="AA301" s="60"/>
      <c r="XEN301" s="32"/>
      <c r="XEO301" s="32"/>
      <c r="XEP301" s="32"/>
      <c r="XEQ301" s="32"/>
      <c r="XER301" s="32"/>
      <c r="XES301" s="32"/>
      <c r="XET301" s="32"/>
      <c r="XEU301" s="32"/>
      <c r="XEV301" s="32"/>
      <c r="XEW301" s="32"/>
      <c r="XEX301" s="32"/>
      <c r="XEY301" s="32"/>
      <c r="XEZ301" s="32"/>
      <c r="XFA301" s="32"/>
      <c r="XFB301" s="32"/>
      <c r="XFC301" s="32"/>
      <c r="XFD301" s="32"/>
    </row>
    <row r="302" s="40" customFormat="true" ht="18.75" hidden="false" customHeight="true" outlineLevel="0" collapsed="false">
      <c r="A302" s="42" t="s">
        <v>1121</v>
      </c>
      <c r="B302" s="39" t="s">
        <v>344</v>
      </c>
      <c r="C302" s="38"/>
      <c r="D302" s="38" t="s">
        <v>345</v>
      </c>
      <c r="E302" s="38" t="s">
        <v>1122</v>
      </c>
      <c r="F302" s="38"/>
      <c r="G302" s="59" t="n">
        <v>30225</v>
      </c>
      <c r="H302" s="39"/>
      <c r="I302" s="39"/>
      <c r="J302" s="60"/>
      <c r="K302" s="60"/>
      <c r="L302" s="60"/>
      <c r="M302" s="60"/>
      <c r="N302" s="60"/>
      <c r="O302" s="60"/>
      <c r="P302" s="60"/>
      <c r="Q302" s="60"/>
      <c r="R302" s="60"/>
      <c r="S302" s="60"/>
      <c r="T302" s="60"/>
      <c r="U302" s="61" t="n">
        <v>758.75</v>
      </c>
      <c r="V302" s="62"/>
      <c r="W302" s="62"/>
      <c r="X302" s="62"/>
      <c r="Y302" s="62"/>
      <c r="Z302" s="62"/>
      <c r="AA302" s="60"/>
      <c r="XEN302" s="32"/>
      <c r="XEO302" s="32"/>
      <c r="XEP302" s="32"/>
      <c r="XEQ302" s="32"/>
      <c r="XER302" s="32"/>
      <c r="XES302" s="32"/>
      <c r="XET302" s="32"/>
      <c r="XEU302" s="32"/>
      <c r="XEV302" s="32"/>
      <c r="XEW302" s="32"/>
      <c r="XEX302" s="32"/>
      <c r="XEY302" s="32"/>
      <c r="XEZ302" s="32"/>
      <c r="XFA302" s="32"/>
      <c r="XFB302" s="32"/>
      <c r="XFC302" s="32"/>
      <c r="XFD302" s="32"/>
    </row>
    <row r="303" s="40" customFormat="true" ht="18.75" hidden="false" customHeight="true" outlineLevel="0" collapsed="false">
      <c r="A303" s="42" t="s">
        <v>1123</v>
      </c>
      <c r="B303" s="39" t="s">
        <v>228</v>
      </c>
      <c r="C303" s="42"/>
      <c r="D303" s="42" t="s">
        <v>229</v>
      </c>
      <c r="E303" s="42" t="s">
        <v>1124</v>
      </c>
      <c r="F303" s="42"/>
      <c r="G303" s="65" t="s">
        <v>1125</v>
      </c>
      <c r="H303" s="39"/>
      <c r="I303" s="39"/>
      <c r="J303" s="60"/>
      <c r="K303" s="60"/>
      <c r="L303" s="60"/>
      <c r="M303" s="60"/>
      <c r="N303" s="60"/>
      <c r="O303" s="60"/>
      <c r="P303" s="60"/>
      <c r="Q303" s="60"/>
      <c r="R303" s="60"/>
      <c r="S303" s="60"/>
      <c r="T303" s="60"/>
      <c r="U303" s="61" t="n">
        <v>608.12</v>
      </c>
      <c r="V303" s="62"/>
      <c r="W303" s="62"/>
      <c r="X303" s="62"/>
      <c r="Y303" s="62"/>
      <c r="Z303" s="62"/>
      <c r="AA303" s="60"/>
      <c r="XEN303" s="32"/>
      <c r="XEO303" s="32"/>
      <c r="XEP303" s="32"/>
      <c r="XEQ303" s="32"/>
      <c r="XER303" s="32"/>
      <c r="XES303" s="32"/>
      <c r="XET303" s="32"/>
      <c r="XEU303" s="32"/>
      <c r="XEV303" s="32"/>
      <c r="XEW303" s="32"/>
      <c r="XEX303" s="32"/>
      <c r="XEY303" s="32"/>
      <c r="XEZ303" s="32"/>
      <c r="XFA303" s="32"/>
      <c r="XFB303" s="32"/>
      <c r="XFC303" s="32"/>
      <c r="XFD303" s="32"/>
    </row>
    <row r="304" s="40" customFormat="true" ht="18.75" hidden="false" customHeight="true" outlineLevel="0" collapsed="false">
      <c r="A304" s="42" t="s">
        <v>1126</v>
      </c>
      <c r="B304" s="39" t="s">
        <v>228</v>
      </c>
      <c r="C304" s="42"/>
      <c r="D304" s="42" t="s">
        <v>229</v>
      </c>
      <c r="E304" s="42" t="s">
        <v>1127</v>
      </c>
      <c r="F304" s="42"/>
      <c r="G304" s="65" t="s">
        <v>1128</v>
      </c>
      <c r="H304" s="39"/>
      <c r="I304" s="39"/>
      <c r="J304" s="60"/>
      <c r="K304" s="60"/>
      <c r="L304" s="60"/>
      <c r="M304" s="60"/>
      <c r="N304" s="60"/>
      <c r="O304" s="60"/>
      <c r="P304" s="60"/>
      <c r="Q304" s="60"/>
      <c r="R304" s="60"/>
      <c r="S304" s="60"/>
      <c r="T304" s="60"/>
      <c r="U304" s="61" t="n">
        <v>608.12</v>
      </c>
      <c r="V304" s="62"/>
      <c r="W304" s="62"/>
      <c r="X304" s="62"/>
      <c r="Y304" s="62"/>
      <c r="Z304" s="62"/>
      <c r="AA304" s="60"/>
      <c r="XEN304" s="32"/>
      <c r="XEO304" s="32"/>
      <c r="XEP304" s="32"/>
      <c r="XEQ304" s="32"/>
      <c r="XER304" s="32"/>
      <c r="XES304" s="32"/>
      <c r="XET304" s="32"/>
      <c r="XEU304" s="32"/>
      <c r="XEV304" s="32"/>
      <c r="XEW304" s="32"/>
      <c r="XEX304" s="32"/>
      <c r="XEY304" s="32"/>
      <c r="XEZ304" s="32"/>
      <c r="XFA304" s="32"/>
      <c r="XFB304" s="32"/>
      <c r="XFC304" s="32"/>
      <c r="XFD304" s="32"/>
    </row>
    <row r="305" s="40" customFormat="true" ht="18.75" hidden="false" customHeight="true" outlineLevel="0" collapsed="false">
      <c r="A305" s="42" t="s">
        <v>1129</v>
      </c>
      <c r="B305" s="39" t="s">
        <v>228</v>
      </c>
      <c r="C305" s="42"/>
      <c r="D305" s="42" t="s">
        <v>229</v>
      </c>
      <c r="E305" s="42" t="s">
        <v>1130</v>
      </c>
      <c r="F305" s="42"/>
      <c r="G305" s="65" t="s">
        <v>1131</v>
      </c>
      <c r="H305" s="39"/>
      <c r="I305" s="39"/>
      <c r="J305" s="60"/>
      <c r="K305" s="60"/>
      <c r="L305" s="60"/>
      <c r="M305" s="60"/>
      <c r="N305" s="60"/>
      <c r="O305" s="60"/>
      <c r="P305" s="60"/>
      <c r="Q305" s="60"/>
      <c r="R305" s="60"/>
      <c r="S305" s="60"/>
      <c r="T305" s="60"/>
      <c r="U305" s="61" t="n">
        <v>608.12</v>
      </c>
      <c r="V305" s="62"/>
      <c r="W305" s="62"/>
      <c r="X305" s="62"/>
      <c r="Y305" s="62"/>
      <c r="Z305" s="62"/>
      <c r="AA305" s="60"/>
      <c r="XEN305" s="32"/>
      <c r="XEO305" s="32"/>
      <c r="XEP305" s="32"/>
      <c r="XEQ305" s="32"/>
      <c r="XER305" s="32"/>
      <c r="XES305" s="32"/>
      <c r="XET305" s="32"/>
      <c r="XEU305" s="32"/>
      <c r="XEV305" s="32"/>
      <c r="XEW305" s="32"/>
      <c r="XEX305" s="32"/>
      <c r="XEY305" s="32"/>
      <c r="XEZ305" s="32"/>
      <c r="XFA305" s="32"/>
      <c r="XFB305" s="32"/>
      <c r="XFC305" s="32"/>
      <c r="XFD305" s="32"/>
    </row>
    <row r="306" s="40" customFormat="true" ht="18.75" hidden="false" customHeight="true" outlineLevel="0" collapsed="false">
      <c r="A306" s="42" t="s">
        <v>1132</v>
      </c>
      <c r="B306" s="39" t="s">
        <v>228</v>
      </c>
      <c r="C306" s="42"/>
      <c r="D306" s="38" t="s">
        <v>229</v>
      </c>
      <c r="E306" s="38" t="s">
        <v>1133</v>
      </c>
      <c r="F306" s="38"/>
      <c r="G306" s="65" t="n">
        <v>36442</v>
      </c>
      <c r="H306" s="39"/>
      <c r="I306" s="39"/>
      <c r="J306" s="60"/>
      <c r="K306" s="60"/>
      <c r="L306" s="60"/>
      <c r="M306" s="60"/>
      <c r="N306" s="60"/>
      <c r="O306" s="60"/>
      <c r="P306" s="60"/>
      <c r="Q306" s="60"/>
      <c r="R306" s="60"/>
      <c r="S306" s="60"/>
      <c r="T306" s="60"/>
      <c r="U306" s="61" t="n">
        <v>608.12</v>
      </c>
      <c r="V306" s="62"/>
      <c r="W306" s="62"/>
      <c r="X306" s="62"/>
      <c r="Y306" s="62"/>
      <c r="Z306" s="62"/>
      <c r="AA306" s="60"/>
      <c r="XEN306" s="32"/>
      <c r="XEO306" s="32"/>
      <c r="XEP306" s="32"/>
      <c r="XEQ306" s="32"/>
      <c r="XER306" s="32"/>
      <c r="XES306" s="32"/>
      <c r="XET306" s="32"/>
      <c r="XEU306" s="32"/>
      <c r="XEV306" s="32"/>
      <c r="XEW306" s="32"/>
      <c r="XEX306" s="32"/>
      <c r="XEY306" s="32"/>
      <c r="XEZ306" s="32"/>
      <c r="XFA306" s="32"/>
      <c r="XFB306" s="32"/>
      <c r="XFC306" s="32"/>
      <c r="XFD306" s="32"/>
    </row>
    <row r="307" s="40" customFormat="true" ht="18.75" hidden="false" customHeight="true" outlineLevel="0" collapsed="false">
      <c r="A307" s="79" t="s">
        <v>1134</v>
      </c>
      <c r="B307" s="39" t="s">
        <v>228</v>
      </c>
      <c r="C307" s="42"/>
      <c r="D307" s="38" t="s">
        <v>229</v>
      </c>
      <c r="E307" s="42" t="s">
        <v>1135</v>
      </c>
      <c r="F307" s="42"/>
      <c r="G307" s="70" t="s">
        <v>1136</v>
      </c>
      <c r="H307" s="39"/>
      <c r="I307" s="39"/>
      <c r="J307" s="60"/>
      <c r="K307" s="64"/>
      <c r="L307" s="60"/>
      <c r="M307" s="60"/>
      <c r="N307" s="60"/>
      <c r="O307" s="60"/>
      <c r="P307" s="60"/>
      <c r="Q307" s="60"/>
      <c r="R307" s="60"/>
      <c r="S307" s="60"/>
      <c r="T307" s="60"/>
      <c r="U307" s="61" t="n">
        <v>1216.24</v>
      </c>
      <c r="V307" s="62"/>
      <c r="W307" s="62"/>
      <c r="X307" s="62"/>
      <c r="Y307" s="62"/>
      <c r="Z307" s="62"/>
      <c r="AA307" s="60"/>
      <c r="XEN307" s="32"/>
      <c r="XEO307" s="32"/>
      <c r="XEP307" s="32"/>
      <c r="XEQ307" s="32"/>
      <c r="XER307" s="32"/>
      <c r="XES307" s="32"/>
      <c r="XET307" s="32"/>
      <c r="XEU307" s="32"/>
      <c r="XEV307" s="32"/>
      <c r="XEW307" s="32"/>
      <c r="XEX307" s="32"/>
      <c r="XEY307" s="32"/>
      <c r="XEZ307" s="32"/>
      <c r="XFA307" s="32"/>
      <c r="XFB307" s="32"/>
      <c r="XFC307" s="32"/>
      <c r="XFD307" s="32"/>
    </row>
    <row r="308" s="40" customFormat="true" ht="18.75" hidden="false" customHeight="true" outlineLevel="0" collapsed="false">
      <c r="A308" s="42" t="s">
        <v>1137</v>
      </c>
      <c r="B308" s="37" t="s">
        <v>192</v>
      </c>
      <c r="C308" s="42"/>
      <c r="D308" s="38" t="s">
        <v>193</v>
      </c>
      <c r="E308" s="38" t="s">
        <v>1138</v>
      </c>
      <c r="F308" s="38"/>
      <c r="G308" s="59" t="s">
        <v>839</v>
      </c>
      <c r="H308" s="39"/>
      <c r="I308" s="39"/>
      <c r="J308" s="60"/>
      <c r="K308" s="60"/>
      <c r="L308" s="60"/>
      <c r="M308" s="60"/>
      <c r="N308" s="60"/>
      <c r="O308" s="60"/>
      <c r="P308" s="60"/>
      <c r="Q308" s="60"/>
      <c r="R308" s="60"/>
      <c r="S308" s="60"/>
      <c r="T308" s="60"/>
      <c r="U308" s="61" t="n">
        <v>898.49</v>
      </c>
      <c r="V308" s="62"/>
      <c r="W308" s="62"/>
      <c r="X308" s="62"/>
      <c r="Y308" s="62"/>
      <c r="Z308" s="62"/>
      <c r="AA308" s="60"/>
      <c r="XEN308" s="32"/>
      <c r="XEO308" s="32"/>
      <c r="XEP308" s="32"/>
      <c r="XEQ308" s="32"/>
      <c r="XER308" s="32"/>
      <c r="XES308" s="32"/>
      <c r="XET308" s="32"/>
      <c r="XEU308" s="32"/>
      <c r="XEV308" s="32"/>
      <c r="XEW308" s="32"/>
      <c r="XEX308" s="32"/>
      <c r="XEY308" s="32"/>
      <c r="XEZ308" s="32"/>
      <c r="XFA308" s="32"/>
      <c r="XFB308" s="32"/>
      <c r="XFC308" s="32"/>
      <c r="XFD308" s="32"/>
    </row>
    <row r="309" s="40" customFormat="true" ht="18.75" hidden="false" customHeight="true" outlineLevel="0" collapsed="false">
      <c r="A309" s="42" t="s">
        <v>1139</v>
      </c>
      <c r="B309" s="37" t="s">
        <v>192</v>
      </c>
      <c r="C309" s="42"/>
      <c r="D309" s="38" t="s">
        <v>193</v>
      </c>
      <c r="E309" s="38" t="s">
        <v>1140</v>
      </c>
      <c r="F309" s="38"/>
      <c r="G309" s="59" t="s">
        <v>1141</v>
      </c>
      <c r="H309" s="39"/>
      <c r="I309" s="39"/>
      <c r="J309" s="60"/>
      <c r="K309" s="60"/>
      <c r="L309" s="60"/>
      <c r="M309" s="60"/>
      <c r="N309" s="60"/>
      <c r="O309" s="60"/>
      <c r="P309" s="60"/>
      <c r="Q309" s="60"/>
      <c r="R309" s="60"/>
      <c r="S309" s="60"/>
      <c r="T309" s="60"/>
      <c r="U309" s="61" t="n">
        <v>898.49</v>
      </c>
      <c r="V309" s="62"/>
      <c r="W309" s="62"/>
      <c r="X309" s="62"/>
      <c r="Y309" s="62"/>
      <c r="Z309" s="62"/>
      <c r="AA309" s="60"/>
      <c r="XEN309" s="32"/>
      <c r="XEO309" s="32"/>
      <c r="XEP309" s="32"/>
      <c r="XEQ309" s="32"/>
      <c r="XER309" s="32"/>
      <c r="XES309" s="32"/>
      <c r="XET309" s="32"/>
      <c r="XEU309" s="32"/>
      <c r="XEV309" s="32"/>
      <c r="XEW309" s="32"/>
      <c r="XEX309" s="32"/>
      <c r="XEY309" s="32"/>
      <c r="XEZ309" s="32"/>
      <c r="XFA309" s="32"/>
      <c r="XFB309" s="32"/>
      <c r="XFC309" s="32"/>
      <c r="XFD309" s="32"/>
    </row>
    <row r="310" s="40" customFormat="true" ht="18.75" hidden="false" customHeight="true" outlineLevel="0" collapsed="false">
      <c r="A310" s="42" t="s">
        <v>1142</v>
      </c>
      <c r="B310" s="37" t="s">
        <v>192</v>
      </c>
      <c r="C310" s="42"/>
      <c r="D310" s="38" t="s">
        <v>193</v>
      </c>
      <c r="E310" s="38" t="s">
        <v>1143</v>
      </c>
      <c r="F310" s="38"/>
      <c r="G310" s="65" t="n">
        <v>29534</v>
      </c>
      <c r="H310" s="39"/>
      <c r="I310" s="39"/>
      <c r="J310" s="60"/>
      <c r="K310" s="60"/>
      <c r="L310" s="60"/>
      <c r="M310" s="60"/>
      <c r="N310" s="60"/>
      <c r="O310" s="60"/>
      <c r="P310" s="60"/>
      <c r="Q310" s="60"/>
      <c r="R310" s="60"/>
      <c r="S310" s="60"/>
      <c r="T310" s="60"/>
      <c r="U310" s="61" t="n">
        <v>898.49</v>
      </c>
      <c r="V310" s="62"/>
      <c r="W310" s="62"/>
      <c r="X310" s="62"/>
      <c r="Y310" s="62"/>
      <c r="Z310" s="62"/>
      <c r="AA310" s="60"/>
      <c r="XEN310" s="32"/>
      <c r="XEO310" s="32"/>
      <c r="XEP310" s="32"/>
      <c r="XEQ310" s="32"/>
      <c r="XER310" s="32"/>
      <c r="XES310" s="32"/>
      <c r="XET310" s="32"/>
      <c r="XEU310" s="32"/>
      <c r="XEV310" s="32"/>
      <c r="XEW310" s="32"/>
      <c r="XEX310" s="32"/>
      <c r="XEY310" s="32"/>
      <c r="XEZ310" s="32"/>
      <c r="XFA310" s="32"/>
      <c r="XFB310" s="32"/>
      <c r="XFC310" s="32"/>
      <c r="XFD310" s="32"/>
    </row>
    <row r="311" s="63" customFormat="true" ht="18.75" hidden="false" customHeight="true" outlineLevel="0" collapsed="false">
      <c r="A311" s="42" t="s">
        <v>1144</v>
      </c>
      <c r="B311" s="39" t="s">
        <v>314</v>
      </c>
      <c r="C311" s="42"/>
      <c r="D311" s="38" t="s">
        <v>315</v>
      </c>
      <c r="E311" s="38" t="s">
        <v>1145</v>
      </c>
      <c r="F311" s="38"/>
      <c r="G311" s="59" t="s">
        <v>1146</v>
      </c>
      <c r="H311" s="39"/>
      <c r="I311" s="39"/>
      <c r="J311" s="60"/>
      <c r="K311" s="60"/>
      <c r="L311" s="60"/>
      <c r="M311" s="60"/>
      <c r="N311" s="60"/>
      <c r="O311" s="60"/>
      <c r="P311" s="60"/>
      <c r="Q311" s="60"/>
      <c r="R311" s="60"/>
      <c r="S311" s="60"/>
      <c r="T311" s="60"/>
      <c r="U311" s="61" t="n">
        <v>953.84</v>
      </c>
      <c r="V311" s="62"/>
      <c r="W311" s="62"/>
      <c r="X311" s="62"/>
      <c r="Y311" s="62"/>
      <c r="Z311" s="62"/>
      <c r="AA311" s="60"/>
      <c r="AB311" s="40"/>
      <c r="AC311" s="40"/>
      <c r="AD311" s="40"/>
      <c r="AE311" s="40"/>
      <c r="AF311" s="40"/>
      <c r="AG311" s="40"/>
      <c r="AH311" s="40"/>
      <c r="AI311" s="40"/>
      <c r="AJ311" s="40"/>
      <c r="AK311" s="40"/>
      <c r="AL311" s="40"/>
      <c r="AM311" s="40"/>
      <c r="AN311" s="40"/>
      <c r="AO311" s="40"/>
      <c r="AP311" s="40"/>
      <c r="AQ311" s="40"/>
      <c r="AR311" s="40"/>
      <c r="AS311" s="40"/>
      <c r="AT311" s="40"/>
      <c r="AU311" s="40"/>
      <c r="AV311" s="40"/>
      <c r="AW311" s="40"/>
      <c r="AX311" s="40"/>
      <c r="AY311" s="40"/>
      <c r="AZ311" s="40"/>
      <c r="BA311" s="40"/>
      <c r="BB311" s="40"/>
      <c r="BC311" s="40"/>
      <c r="BD311" s="40"/>
      <c r="BE311" s="40"/>
      <c r="BF311" s="40"/>
      <c r="BG311" s="40"/>
      <c r="BH311" s="40"/>
      <c r="BI311" s="40"/>
      <c r="BJ311" s="40"/>
      <c r="BK311" s="40"/>
      <c r="BL311" s="40"/>
      <c r="BM311" s="40"/>
      <c r="BN311" s="40"/>
      <c r="BO311" s="40"/>
      <c r="BP311" s="40"/>
      <c r="BQ311" s="40"/>
      <c r="BR311" s="40"/>
      <c r="BS311" s="40"/>
      <c r="XEN311" s="32"/>
      <c r="XEO311" s="32"/>
      <c r="XEP311" s="32"/>
      <c r="XEQ311" s="32"/>
      <c r="XER311" s="32"/>
      <c r="XES311" s="32"/>
      <c r="XET311" s="32"/>
      <c r="XEU311" s="32"/>
      <c r="XEV311" s="32"/>
      <c r="XEW311" s="32"/>
      <c r="XEX311" s="32"/>
      <c r="XEY311" s="32"/>
      <c r="XEZ311" s="32"/>
      <c r="XFA311" s="32"/>
      <c r="XFB311" s="32"/>
      <c r="XFC311" s="32"/>
      <c r="XFD311" s="32"/>
    </row>
    <row r="312" s="40" customFormat="true" ht="18.75" hidden="false" customHeight="true" outlineLevel="0" collapsed="false">
      <c r="A312" s="42" t="s">
        <v>1147</v>
      </c>
      <c r="B312" s="39" t="s">
        <v>314</v>
      </c>
      <c r="C312" s="38"/>
      <c r="D312" s="38" t="s">
        <v>315</v>
      </c>
      <c r="E312" s="38" t="s">
        <v>1148</v>
      </c>
      <c r="F312" s="38"/>
      <c r="G312" s="59" t="n">
        <v>31070</v>
      </c>
      <c r="H312" s="39"/>
      <c r="I312" s="39"/>
      <c r="J312" s="60"/>
      <c r="K312" s="60"/>
      <c r="L312" s="60"/>
      <c r="M312" s="60"/>
      <c r="N312" s="60"/>
      <c r="O312" s="60"/>
      <c r="P312" s="60"/>
      <c r="Q312" s="60"/>
      <c r="R312" s="60"/>
      <c r="S312" s="60"/>
      <c r="T312" s="60"/>
      <c r="U312" s="61" t="n">
        <v>953.84</v>
      </c>
      <c r="X312" s="62"/>
      <c r="Y312" s="62"/>
      <c r="Z312" s="62"/>
      <c r="AA312" s="60"/>
      <c r="XEN312" s="32"/>
      <c r="XEO312" s="32"/>
      <c r="XEP312" s="32"/>
      <c r="XEQ312" s="32"/>
      <c r="XER312" s="32"/>
      <c r="XES312" s="32"/>
      <c r="XET312" s="32"/>
      <c r="XEU312" s="32"/>
      <c r="XEV312" s="32"/>
      <c r="XEW312" s="32"/>
      <c r="XEX312" s="32"/>
      <c r="XEY312" s="32"/>
      <c r="XEZ312" s="32"/>
      <c r="XFA312" s="32"/>
      <c r="XFB312" s="32"/>
      <c r="XFC312" s="32"/>
      <c r="XFD312" s="32"/>
    </row>
    <row r="313" s="40" customFormat="true" ht="18.75" hidden="false" customHeight="true" outlineLevel="0" collapsed="false">
      <c r="A313" s="71" t="s">
        <v>1149</v>
      </c>
      <c r="B313" s="39" t="s">
        <v>314</v>
      </c>
      <c r="C313" s="38"/>
      <c r="D313" s="38" t="s">
        <v>315</v>
      </c>
      <c r="E313" s="38" t="s">
        <v>1150</v>
      </c>
      <c r="F313" s="38"/>
      <c r="G313" s="59" t="n">
        <v>25552</v>
      </c>
      <c r="H313" s="39"/>
      <c r="I313" s="39"/>
      <c r="J313" s="60"/>
      <c r="K313" s="60"/>
      <c r="L313" s="60"/>
      <c r="M313" s="60"/>
      <c r="N313" s="60"/>
      <c r="O313" s="60"/>
      <c r="P313" s="60"/>
      <c r="Q313" s="60"/>
      <c r="R313" s="60"/>
      <c r="S313" s="60"/>
      <c r="T313" s="60"/>
      <c r="U313" s="61" t="n">
        <v>953.84</v>
      </c>
      <c r="V313" s="62"/>
      <c r="W313" s="62"/>
      <c r="X313" s="62"/>
      <c r="Y313" s="62"/>
      <c r="Z313" s="62"/>
      <c r="AA313" s="60"/>
      <c r="XEN313" s="32"/>
      <c r="XEO313" s="32"/>
      <c r="XEP313" s="32"/>
      <c r="XEQ313" s="32"/>
      <c r="XER313" s="32"/>
      <c r="XES313" s="32"/>
      <c r="XET313" s="32"/>
      <c r="XEU313" s="32"/>
      <c r="XEV313" s="32"/>
      <c r="XEW313" s="32"/>
      <c r="XEX313" s="32"/>
      <c r="XEY313" s="32"/>
      <c r="XEZ313" s="32"/>
      <c r="XFA313" s="32"/>
      <c r="XFB313" s="32"/>
      <c r="XFC313" s="32"/>
      <c r="XFD313" s="32"/>
    </row>
    <row r="314" s="40" customFormat="true" ht="18.75" hidden="false" customHeight="true" outlineLevel="0" collapsed="false">
      <c r="A314" s="42" t="s">
        <v>1151</v>
      </c>
      <c r="B314" s="39" t="s">
        <v>314</v>
      </c>
      <c r="C314" s="42"/>
      <c r="D314" s="38" t="s">
        <v>315</v>
      </c>
      <c r="E314" s="38" t="s">
        <v>1152</v>
      </c>
      <c r="F314" s="38"/>
      <c r="G314" s="59" t="s">
        <v>1153</v>
      </c>
      <c r="H314" s="39"/>
      <c r="I314" s="39"/>
      <c r="J314" s="60"/>
      <c r="K314" s="60"/>
      <c r="L314" s="60"/>
      <c r="M314" s="60"/>
      <c r="N314" s="60"/>
      <c r="O314" s="60"/>
      <c r="P314" s="60"/>
      <c r="Q314" s="60"/>
      <c r="R314" s="60"/>
      <c r="S314" s="60"/>
      <c r="T314" s="60"/>
      <c r="U314" s="61" t="n">
        <v>953.84</v>
      </c>
      <c r="V314" s="62"/>
      <c r="W314" s="62"/>
      <c r="X314" s="62"/>
      <c r="Y314" s="62"/>
      <c r="Z314" s="62"/>
      <c r="AA314" s="60"/>
      <c r="XEN314" s="32"/>
      <c r="XEO314" s="32"/>
      <c r="XEP314" s="32"/>
      <c r="XEQ314" s="32"/>
      <c r="XER314" s="32"/>
      <c r="XES314" s="32"/>
      <c r="XET314" s="32"/>
      <c r="XEU314" s="32"/>
      <c r="XEV314" s="32"/>
      <c r="XEW314" s="32"/>
      <c r="XEX314" s="32"/>
      <c r="XEY314" s="32"/>
      <c r="XEZ314" s="32"/>
      <c r="XFA314" s="32"/>
      <c r="XFB314" s="32"/>
      <c r="XFC314" s="32"/>
      <c r="XFD314" s="32"/>
    </row>
    <row r="315" s="40" customFormat="true" ht="18.75" hidden="false" customHeight="true" outlineLevel="0" collapsed="false">
      <c r="A315" s="42" t="s">
        <v>1154</v>
      </c>
      <c r="B315" s="43" t="s">
        <v>363</v>
      </c>
      <c r="C315" s="42"/>
      <c r="D315" s="43" t="s">
        <v>364</v>
      </c>
      <c r="E315" s="38" t="s">
        <v>1155</v>
      </c>
      <c r="F315" s="38"/>
      <c r="G315" s="59" t="n">
        <v>26361</v>
      </c>
      <c r="H315" s="39"/>
      <c r="I315" s="39"/>
      <c r="J315" s="60"/>
      <c r="K315" s="64"/>
      <c r="L315" s="60"/>
      <c r="M315" s="60"/>
      <c r="N315" s="60"/>
      <c r="O315" s="60"/>
      <c r="P315" s="60"/>
      <c r="Q315" s="60"/>
      <c r="R315" s="60"/>
      <c r="S315" s="60"/>
      <c r="T315" s="60"/>
      <c r="U315" s="61" t="n">
        <v>608.12</v>
      </c>
      <c r="V315" s="62"/>
      <c r="W315" s="62"/>
      <c r="X315" s="62"/>
      <c r="Y315" s="62"/>
      <c r="Z315" s="62"/>
      <c r="AA315" s="60"/>
      <c r="XEN315" s="32"/>
      <c r="XEO315" s="32"/>
      <c r="XEP315" s="32"/>
      <c r="XEQ315" s="32"/>
      <c r="XER315" s="32"/>
      <c r="XES315" s="32"/>
      <c r="XET315" s="32"/>
      <c r="XEU315" s="32"/>
      <c r="XEV315" s="32"/>
      <c r="XEW315" s="32"/>
      <c r="XEX315" s="32"/>
      <c r="XEY315" s="32"/>
      <c r="XEZ315" s="32"/>
      <c r="XFA315" s="32"/>
      <c r="XFB315" s="32"/>
      <c r="XFC315" s="32"/>
      <c r="XFD315" s="32"/>
    </row>
    <row r="316" s="40" customFormat="true" ht="18.75" hidden="false" customHeight="true" outlineLevel="0" collapsed="false">
      <c r="A316" s="42" t="s">
        <v>1156</v>
      </c>
      <c r="B316" s="37" t="s">
        <v>184</v>
      </c>
      <c r="C316" s="42"/>
      <c r="D316" s="38" t="s">
        <v>185</v>
      </c>
      <c r="E316" s="38" t="s">
        <v>1157</v>
      </c>
      <c r="F316" s="38"/>
      <c r="G316" s="59" t="n">
        <v>28532</v>
      </c>
      <c r="H316" s="39"/>
      <c r="I316" s="39"/>
      <c r="J316" s="60"/>
      <c r="K316" s="60"/>
      <c r="L316" s="60"/>
      <c r="M316" s="60"/>
      <c r="N316" s="60"/>
      <c r="O316" s="60"/>
      <c r="P316" s="60"/>
      <c r="Q316" s="60"/>
      <c r="R316" s="60"/>
      <c r="S316" s="60"/>
      <c r="T316" s="60"/>
      <c r="U316" s="61" t="n">
        <v>608.12</v>
      </c>
      <c r="V316" s="62"/>
      <c r="W316" s="62"/>
      <c r="X316" s="62"/>
      <c r="Y316" s="62"/>
      <c r="Z316" s="62"/>
      <c r="AA316" s="60"/>
      <c r="XEN316" s="32"/>
      <c r="XEO316" s="32"/>
      <c r="XEP316" s="32"/>
      <c r="XEQ316" s="32"/>
      <c r="XER316" s="32"/>
      <c r="XES316" s="32"/>
      <c r="XET316" s="32"/>
      <c r="XEU316" s="32"/>
      <c r="XEV316" s="32"/>
      <c r="XEW316" s="32"/>
      <c r="XEX316" s="32"/>
      <c r="XEY316" s="32"/>
      <c r="XEZ316" s="32"/>
      <c r="XFA316" s="32"/>
      <c r="XFB316" s="32"/>
      <c r="XFC316" s="32"/>
      <c r="XFD316" s="32"/>
    </row>
    <row r="317" s="40" customFormat="true" ht="18.75" hidden="false" customHeight="true" outlineLevel="0" collapsed="false">
      <c r="A317" s="42" t="s">
        <v>1158</v>
      </c>
      <c r="B317" s="37" t="s">
        <v>194</v>
      </c>
      <c r="C317" s="42"/>
      <c r="D317" s="38" t="s">
        <v>195</v>
      </c>
      <c r="E317" s="38" t="s">
        <v>1159</v>
      </c>
      <c r="F317" s="38"/>
      <c r="G317" s="59" t="s">
        <v>1160</v>
      </c>
      <c r="H317" s="39"/>
      <c r="I317" s="39"/>
      <c r="J317" s="60"/>
      <c r="K317" s="60"/>
      <c r="L317" s="60"/>
      <c r="M317" s="60"/>
      <c r="N317" s="60"/>
      <c r="O317" s="60"/>
      <c r="P317" s="60"/>
      <c r="Q317" s="60"/>
      <c r="R317" s="60"/>
      <c r="S317" s="60"/>
      <c r="T317" s="60"/>
      <c r="U317" s="61" t="n">
        <v>740.24</v>
      </c>
      <c r="V317" s="62"/>
      <c r="W317" s="62"/>
      <c r="X317" s="62"/>
      <c r="Y317" s="62"/>
      <c r="Z317" s="62"/>
      <c r="AA317" s="60"/>
      <c r="XEN317" s="32"/>
      <c r="XEO317" s="32"/>
      <c r="XEP317" s="32"/>
      <c r="XEQ317" s="32"/>
      <c r="XER317" s="32"/>
      <c r="XES317" s="32"/>
      <c r="XET317" s="32"/>
      <c r="XEU317" s="32"/>
      <c r="XEV317" s="32"/>
      <c r="XEW317" s="32"/>
      <c r="XEX317" s="32"/>
      <c r="XEY317" s="32"/>
      <c r="XEZ317" s="32"/>
      <c r="XFA317" s="32"/>
      <c r="XFB317" s="32"/>
      <c r="XFC317" s="32"/>
      <c r="XFD317" s="32"/>
    </row>
    <row r="318" s="63" customFormat="true" ht="18.75" hidden="false" customHeight="true" outlineLevel="0" collapsed="false">
      <c r="A318" s="42" t="s">
        <v>1161</v>
      </c>
      <c r="B318" s="37" t="s">
        <v>194</v>
      </c>
      <c r="C318" s="42"/>
      <c r="D318" s="38" t="s">
        <v>195</v>
      </c>
      <c r="E318" s="38" t="s">
        <v>1162</v>
      </c>
      <c r="F318" s="38"/>
      <c r="G318" s="59" t="n">
        <v>27637</v>
      </c>
      <c r="H318" s="39"/>
      <c r="I318" s="39"/>
      <c r="J318" s="60"/>
      <c r="K318" s="60"/>
      <c r="L318" s="60"/>
      <c r="M318" s="60"/>
      <c r="N318" s="60"/>
      <c r="O318" s="60"/>
      <c r="P318" s="60"/>
      <c r="Q318" s="60"/>
      <c r="R318" s="60"/>
      <c r="S318" s="60"/>
      <c r="T318" s="60"/>
      <c r="U318" s="61" t="n">
        <v>892.91</v>
      </c>
      <c r="V318" s="40"/>
      <c r="W318" s="40"/>
      <c r="X318" s="62"/>
      <c r="Y318" s="62"/>
      <c r="Z318" s="62"/>
      <c r="AA318" s="60"/>
      <c r="AB318" s="40"/>
      <c r="AC318" s="40"/>
      <c r="AD318" s="40"/>
      <c r="AE318" s="40"/>
      <c r="AF318" s="40"/>
      <c r="AG318" s="40"/>
      <c r="AH318" s="40"/>
      <c r="AI318" s="40"/>
      <c r="AJ318" s="40"/>
      <c r="AK318" s="40"/>
      <c r="AL318" s="40"/>
      <c r="AM318" s="40"/>
      <c r="AN318" s="40"/>
      <c r="AO318" s="40"/>
      <c r="AP318" s="40"/>
      <c r="AQ318" s="40"/>
      <c r="AR318" s="40"/>
      <c r="AS318" s="40"/>
      <c r="AT318" s="40"/>
      <c r="AU318" s="40"/>
      <c r="AV318" s="40"/>
      <c r="AW318" s="40"/>
      <c r="AX318" s="40"/>
      <c r="AY318" s="40"/>
      <c r="AZ318" s="40"/>
      <c r="BA318" s="40"/>
      <c r="BB318" s="40"/>
      <c r="BC318" s="40"/>
      <c r="BD318" s="40"/>
      <c r="BE318" s="40"/>
      <c r="BF318" s="40"/>
      <c r="BG318" s="40"/>
      <c r="BH318" s="40"/>
      <c r="BI318" s="40"/>
      <c r="BJ318" s="40"/>
      <c r="BK318" s="40"/>
      <c r="BL318" s="40"/>
      <c r="BM318" s="40"/>
      <c r="BN318" s="40"/>
      <c r="BO318" s="40"/>
      <c r="BP318" s="40"/>
      <c r="BQ318" s="40"/>
      <c r="BR318" s="40"/>
      <c r="BS318" s="40"/>
      <c r="XEN318" s="32"/>
      <c r="XEO318" s="32"/>
      <c r="XEP318" s="32"/>
      <c r="XEQ318" s="32"/>
      <c r="XER318" s="32"/>
      <c r="XES318" s="32"/>
      <c r="XET318" s="32"/>
      <c r="XEU318" s="32"/>
      <c r="XEV318" s="32"/>
      <c r="XEW318" s="32"/>
      <c r="XEX318" s="32"/>
      <c r="XEY318" s="32"/>
      <c r="XEZ318" s="32"/>
      <c r="XFA318" s="32"/>
      <c r="XFB318" s="32"/>
      <c r="XFC318" s="32"/>
      <c r="XFD318" s="32"/>
    </row>
    <row r="319" s="63" customFormat="true" ht="18.75" hidden="false" customHeight="true" outlineLevel="0" collapsed="false">
      <c r="A319" s="42" t="s">
        <v>1163</v>
      </c>
      <c r="B319" s="37" t="s">
        <v>194</v>
      </c>
      <c r="C319" s="42"/>
      <c r="D319" s="38" t="s">
        <v>195</v>
      </c>
      <c r="E319" s="38" t="s">
        <v>1164</v>
      </c>
      <c r="F319" s="38"/>
      <c r="G319" s="59" t="n">
        <v>28313</v>
      </c>
      <c r="H319" s="39"/>
      <c r="I319" s="39"/>
      <c r="J319" s="60"/>
      <c r="K319" s="60"/>
      <c r="L319" s="60"/>
      <c r="M319" s="60"/>
      <c r="N319" s="60"/>
      <c r="O319" s="60"/>
      <c r="P319" s="60"/>
      <c r="Q319" s="60"/>
      <c r="R319" s="60"/>
      <c r="S319" s="60"/>
      <c r="T319" s="60"/>
      <c r="U319" s="61" t="n">
        <v>892.91</v>
      </c>
      <c r="V319" s="62"/>
      <c r="W319" s="62"/>
      <c r="X319" s="62"/>
      <c r="Y319" s="62"/>
      <c r="Z319" s="62"/>
      <c r="AA319" s="60"/>
      <c r="AB319" s="40"/>
      <c r="AC319" s="40"/>
      <c r="AD319" s="40"/>
      <c r="AE319" s="40"/>
      <c r="AF319" s="40"/>
      <c r="AG319" s="40"/>
      <c r="AH319" s="40"/>
      <c r="AI319" s="40"/>
      <c r="AJ319" s="40"/>
      <c r="AK319" s="40"/>
      <c r="AL319" s="40"/>
      <c r="AM319" s="40"/>
      <c r="AN319" s="40"/>
      <c r="AO319" s="40"/>
      <c r="AP319" s="40"/>
      <c r="AQ319" s="40"/>
      <c r="AR319" s="40"/>
      <c r="AS319" s="40"/>
      <c r="AT319" s="40"/>
      <c r="AU319" s="40"/>
      <c r="AV319" s="40"/>
      <c r="AW319" s="40"/>
      <c r="AX319" s="40"/>
      <c r="AY319" s="40"/>
      <c r="AZ319" s="40"/>
      <c r="BA319" s="40"/>
      <c r="BB319" s="40"/>
      <c r="BC319" s="40"/>
      <c r="BD319" s="40"/>
      <c r="BE319" s="40"/>
      <c r="BF319" s="40"/>
      <c r="BG319" s="40"/>
      <c r="BH319" s="40"/>
      <c r="BI319" s="40"/>
      <c r="BJ319" s="40"/>
      <c r="BK319" s="40"/>
      <c r="BL319" s="40"/>
      <c r="BM319" s="40"/>
      <c r="BN319" s="40"/>
      <c r="BO319" s="40"/>
      <c r="BP319" s="40"/>
      <c r="BQ319" s="40"/>
      <c r="BR319" s="40"/>
      <c r="BS319" s="40"/>
      <c r="XEN319" s="32"/>
      <c r="XEO319" s="32"/>
      <c r="XEP319" s="32"/>
      <c r="XEQ319" s="32"/>
      <c r="XER319" s="32"/>
      <c r="XES319" s="32"/>
      <c r="XET319" s="32"/>
      <c r="XEU319" s="32"/>
      <c r="XEV319" s="32"/>
      <c r="XEW319" s="32"/>
      <c r="XEX319" s="32"/>
      <c r="XEY319" s="32"/>
      <c r="XEZ319" s="32"/>
      <c r="XFA319" s="32"/>
      <c r="XFB319" s="32"/>
      <c r="XFC319" s="32"/>
      <c r="XFD319" s="32"/>
    </row>
    <row r="320" s="40" customFormat="true" ht="18.75" hidden="false" customHeight="true" outlineLevel="0" collapsed="false">
      <c r="A320" s="42" t="s">
        <v>1165</v>
      </c>
      <c r="B320" s="37" t="s">
        <v>194</v>
      </c>
      <c r="C320" s="42"/>
      <c r="D320" s="38" t="s">
        <v>195</v>
      </c>
      <c r="E320" s="38" t="s">
        <v>1166</v>
      </c>
      <c r="F320" s="38"/>
      <c r="G320" s="59" t="n">
        <v>27793</v>
      </c>
      <c r="H320" s="39"/>
      <c r="I320" s="39"/>
      <c r="J320" s="60"/>
      <c r="K320" s="60"/>
      <c r="L320" s="60"/>
      <c r="M320" s="60"/>
      <c r="N320" s="60"/>
      <c r="O320" s="60"/>
      <c r="P320" s="60"/>
      <c r="Q320" s="60"/>
      <c r="R320" s="60"/>
      <c r="S320" s="60"/>
      <c r="T320" s="60"/>
      <c r="U320" s="61" t="n">
        <v>892.91</v>
      </c>
      <c r="V320" s="62"/>
      <c r="W320" s="62"/>
      <c r="X320" s="62"/>
      <c r="Y320" s="62"/>
      <c r="Z320" s="62"/>
      <c r="AA320" s="60"/>
      <c r="XEN320" s="32"/>
      <c r="XEO320" s="32"/>
      <c r="XEP320" s="32"/>
      <c r="XEQ320" s="32"/>
      <c r="XER320" s="32"/>
      <c r="XES320" s="32"/>
      <c r="XET320" s="32"/>
      <c r="XEU320" s="32"/>
      <c r="XEV320" s="32"/>
      <c r="XEW320" s="32"/>
      <c r="XEX320" s="32"/>
      <c r="XEY320" s="32"/>
      <c r="XEZ320" s="32"/>
      <c r="XFA320" s="32"/>
      <c r="XFB320" s="32"/>
      <c r="XFC320" s="32"/>
      <c r="XFD320" s="32"/>
    </row>
    <row r="321" s="40" customFormat="true" ht="18.75" hidden="false" customHeight="true" outlineLevel="0" collapsed="false">
      <c r="A321" s="42" t="s">
        <v>1167</v>
      </c>
      <c r="B321" s="37" t="s">
        <v>194</v>
      </c>
      <c r="C321" s="42"/>
      <c r="D321" s="38" t="s">
        <v>195</v>
      </c>
      <c r="E321" s="38" t="s">
        <v>1168</v>
      </c>
      <c r="F321" s="38"/>
      <c r="G321" s="65" t="n">
        <v>23996</v>
      </c>
      <c r="H321" s="39"/>
      <c r="I321" s="39"/>
      <c r="J321" s="60"/>
      <c r="K321" s="60"/>
      <c r="L321" s="60"/>
      <c r="M321" s="60"/>
      <c r="N321" s="60"/>
      <c r="O321" s="60"/>
      <c r="P321" s="60"/>
      <c r="Q321" s="60"/>
      <c r="R321" s="60"/>
      <c r="S321" s="60"/>
      <c r="T321" s="60"/>
      <c r="U321" s="61" t="n">
        <v>892.91</v>
      </c>
      <c r="V321" s="62"/>
      <c r="W321" s="62"/>
      <c r="X321" s="62"/>
      <c r="Y321" s="62"/>
      <c r="Z321" s="62"/>
      <c r="AA321" s="60"/>
      <c r="XEN321" s="32"/>
      <c r="XEO321" s="32"/>
      <c r="XEP321" s="32"/>
      <c r="XEQ321" s="32"/>
      <c r="XER321" s="32"/>
      <c r="XES321" s="32"/>
      <c r="XET321" s="32"/>
      <c r="XEU321" s="32"/>
      <c r="XEV321" s="32"/>
      <c r="XEW321" s="32"/>
      <c r="XEX321" s="32"/>
      <c r="XEY321" s="32"/>
      <c r="XEZ321" s="32"/>
      <c r="XFA321" s="32"/>
      <c r="XFB321" s="32"/>
      <c r="XFC321" s="32"/>
      <c r="XFD321" s="32"/>
    </row>
    <row r="322" s="40" customFormat="true" ht="18.75" hidden="false" customHeight="true" outlineLevel="0" collapsed="false">
      <c r="A322" s="42" t="s">
        <v>1169</v>
      </c>
      <c r="B322" s="37" t="s">
        <v>194</v>
      </c>
      <c r="C322" s="42"/>
      <c r="D322" s="38" t="s">
        <v>195</v>
      </c>
      <c r="E322" s="38" t="s">
        <v>1170</v>
      </c>
      <c r="F322" s="38"/>
      <c r="G322" s="65" t="s">
        <v>1171</v>
      </c>
      <c r="H322" s="39"/>
      <c r="I322" s="39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1" t="n">
        <v>892.91</v>
      </c>
      <c r="V322" s="62"/>
      <c r="W322" s="62"/>
      <c r="X322" s="62"/>
      <c r="Y322" s="62"/>
      <c r="Z322" s="62"/>
      <c r="AA322" s="60"/>
      <c r="XEN322" s="32"/>
      <c r="XEO322" s="32"/>
      <c r="XEP322" s="32"/>
      <c r="XEQ322" s="32"/>
      <c r="XER322" s="32"/>
      <c r="XES322" s="32"/>
      <c r="XET322" s="32"/>
      <c r="XEU322" s="32"/>
      <c r="XEV322" s="32"/>
      <c r="XEW322" s="32"/>
      <c r="XEX322" s="32"/>
      <c r="XEY322" s="32"/>
      <c r="XEZ322" s="32"/>
      <c r="XFA322" s="32"/>
      <c r="XFB322" s="32"/>
      <c r="XFC322" s="32"/>
      <c r="XFD322" s="32"/>
    </row>
    <row r="323" s="40" customFormat="true" ht="18.75" hidden="false" customHeight="true" outlineLevel="0" collapsed="false">
      <c r="A323" s="42" t="s">
        <v>1172</v>
      </c>
      <c r="B323" s="39" t="s">
        <v>328</v>
      </c>
      <c r="C323" s="42"/>
      <c r="D323" s="42" t="s">
        <v>329</v>
      </c>
      <c r="E323" s="42" t="s">
        <v>1173</v>
      </c>
      <c r="F323" s="42"/>
      <c r="G323" s="65" t="s">
        <v>1174</v>
      </c>
      <c r="H323" s="39"/>
      <c r="I323" s="39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1" t="n">
        <v>517.28</v>
      </c>
      <c r="V323" s="62"/>
      <c r="W323" s="62"/>
      <c r="X323" s="62"/>
      <c r="Y323" s="62"/>
      <c r="Z323" s="62"/>
      <c r="AA323" s="60"/>
      <c r="XEN323" s="32"/>
      <c r="XEO323" s="32"/>
      <c r="XEP323" s="32"/>
      <c r="XEQ323" s="32"/>
      <c r="XER323" s="32"/>
      <c r="XES323" s="32"/>
      <c r="XET323" s="32"/>
      <c r="XEU323" s="32"/>
      <c r="XEV323" s="32"/>
      <c r="XEW323" s="32"/>
      <c r="XEX323" s="32"/>
      <c r="XEY323" s="32"/>
      <c r="XEZ323" s="32"/>
      <c r="XFA323" s="32"/>
      <c r="XFB323" s="32"/>
      <c r="XFC323" s="32"/>
      <c r="XFD323" s="32"/>
    </row>
    <row r="324" s="40" customFormat="true" ht="18.75" hidden="false" customHeight="true" outlineLevel="0" collapsed="false">
      <c r="A324" s="39" t="s">
        <v>1175</v>
      </c>
      <c r="B324" s="40" t="s">
        <v>365</v>
      </c>
      <c r="C324" s="39"/>
      <c r="D324" s="39" t="s">
        <v>366</v>
      </c>
      <c r="E324" s="39" t="s">
        <v>1176</v>
      </c>
      <c r="F324" s="39"/>
      <c r="G324" s="70" t="s">
        <v>1177</v>
      </c>
      <c r="H324" s="39"/>
      <c r="I324" s="39"/>
      <c r="J324" s="60"/>
      <c r="K324" s="60"/>
      <c r="L324" s="60"/>
      <c r="M324" s="60"/>
      <c r="N324" s="60"/>
      <c r="O324" s="60"/>
      <c r="P324" s="60"/>
      <c r="Q324" s="60"/>
      <c r="R324" s="60"/>
      <c r="S324" s="60"/>
      <c r="T324" s="60"/>
      <c r="U324" s="62" t="n">
        <v>1418.62</v>
      </c>
      <c r="V324" s="62"/>
      <c r="W324" s="62"/>
      <c r="X324" s="62"/>
      <c r="Y324" s="62"/>
      <c r="Z324" s="62"/>
      <c r="AA324" s="60"/>
      <c r="XEN324" s="32"/>
      <c r="XEO324" s="32"/>
      <c r="XEP324" s="32"/>
      <c r="XEQ324" s="32"/>
      <c r="XER324" s="32"/>
      <c r="XES324" s="32"/>
      <c r="XET324" s="32"/>
      <c r="XEU324" s="32"/>
      <c r="XEV324" s="32"/>
      <c r="XEW324" s="32"/>
      <c r="XEX324" s="32"/>
      <c r="XEY324" s="32"/>
      <c r="XEZ324" s="32"/>
      <c r="XFA324" s="32"/>
      <c r="XFB324" s="32"/>
      <c r="XFC324" s="32"/>
      <c r="XFD324" s="32"/>
    </row>
    <row r="325" s="40" customFormat="true" ht="18.75" hidden="false" customHeight="true" outlineLevel="0" collapsed="false">
      <c r="A325" s="42" t="s">
        <v>1178</v>
      </c>
      <c r="B325" s="39" t="s">
        <v>208</v>
      </c>
      <c r="C325" s="42"/>
      <c r="D325" s="38" t="s">
        <v>209</v>
      </c>
      <c r="E325" s="38" t="s">
        <v>1179</v>
      </c>
      <c r="F325" s="38"/>
      <c r="G325" s="59" t="n">
        <v>29717</v>
      </c>
      <c r="H325" s="39"/>
      <c r="I325" s="39"/>
      <c r="J325" s="60"/>
      <c r="K325" s="60"/>
      <c r="L325" s="60"/>
      <c r="M325" s="60"/>
      <c r="N325" s="60"/>
      <c r="O325" s="60"/>
      <c r="P325" s="60"/>
      <c r="Q325" s="60"/>
      <c r="R325" s="60"/>
      <c r="S325" s="60"/>
      <c r="T325" s="60"/>
      <c r="U325" s="61" t="n">
        <v>1000</v>
      </c>
      <c r="V325" s="62"/>
      <c r="W325" s="62"/>
      <c r="X325" s="62"/>
      <c r="Y325" s="62"/>
      <c r="Z325" s="62"/>
      <c r="AA325" s="60"/>
      <c r="XEN325" s="32"/>
      <c r="XEO325" s="32"/>
      <c r="XEP325" s="32"/>
      <c r="XEQ325" s="32"/>
      <c r="XER325" s="32"/>
      <c r="XES325" s="32"/>
      <c r="XET325" s="32"/>
      <c r="XEU325" s="32"/>
      <c r="XEV325" s="32"/>
      <c r="XEW325" s="32"/>
      <c r="XEX325" s="32"/>
      <c r="XEY325" s="32"/>
      <c r="XEZ325" s="32"/>
      <c r="XFA325" s="32"/>
      <c r="XFB325" s="32"/>
      <c r="XFC325" s="32"/>
      <c r="XFD325" s="32"/>
    </row>
    <row r="326" s="40" customFormat="true" ht="18.75" hidden="false" customHeight="true" outlineLevel="0" collapsed="false">
      <c r="A326" s="42" t="s">
        <v>1180</v>
      </c>
      <c r="B326" s="39" t="s">
        <v>208</v>
      </c>
      <c r="C326" s="42"/>
      <c r="D326" s="38" t="s">
        <v>209</v>
      </c>
      <c r="E326" s="38" t="s">
        <v>1181</v>
      </c>
      <c r="F326" s="38"/>
      <c r="G326" s="65" t="s">
        <v>1182</v>
      </c>
      <c r="H326" s="39"/>
      <c r="I326" s="39"/>
      <c r="J326" s="60"/>
      <c r="K326" s="60"/>
      <c r="L326" s="60"/>
      <c r="M326" s="60"/>
      <c r="N326" s="60"/>
      <c r="O326" s="60"/>
      <c r="P326" s="60"/>
      <c r="Q326" s="60"/>
      <c r="R326" s="60"/>
      <c r="S326" s="60"/>
      <c r="T326" s="60"/>
      <c r="U326" s="61" t="n">
        <v>1000</v>
      </c>
      <c r="V326" s="62"/>
      <c r="W326" s="62"/>
      <c r="X326" s="62"/>
      <c r="Y326" s="62"/>
      <c r="Z326" s="62"/>
      <c r="AA326" s="60"/>
      <c r="XEN326" s="32"/>
      <c r="XEO326" s="32"/>
      <c r="XEP326" s="32"/>
      <c r="XEQ326" s="32"/>
      <c r="XER326" s="32"/>
      <c r="XES326" s="32"/>
      <c r="XET326" s="32"/>
      <c r="XEU326" s="32"/>
      <c r="XEV326" s="32"/>
      <c r="XEW326" s="32"/>
      <c r="XEX326" s="32"/>
      <c r="XEY326" s="32"/>
      <c r="XEZ326" s="32"/>
      <c r="XFA326" s="32"/>
      <c r="XFB326" s="32"/>
      <c r="XFC326" s="32"/>
      <c r="XFD326" s="32"/>
    </row>
    <row r="327" s="40" customFormat="true" ht="18.75" hidden="false" customHeight="true" outlineLevel="0" collapsed="false">
      <c r="A327" s="42" t="s">
        <v>1183</v>
      </c>
      <c r="B327" s="39" t="s">
        <v>218</v>
      </c>
      <c r="C327" s="42"/>
      <c r="D327" s="38" t="s">
        <v>219</v>
      </c>
      <c r="E327" s="38" t="s">
        <v>1184</v>
      </c>
      <c r="F327" s="38"/>
      <c r="G327" s="59" t="n">
        <v>33697</v>
      </c>
      <c r="H327" s="39"/>
      <c r="I327" s="39"/>
      <c r="J327" s="60"/>
      <c r="K327" s="60"/>
      <c r="L327" s="60"/>
      <c r="M327" s="60"/>
      <c r="N327" s="60"/>
      <c r="O327" s="60"/>
      <c r="P327" s="60"/>
      <c r="Q327" s="60"/>
      <c r="R327" s="60"/>
      <c r="S327" s="60"/>
      <c r="T327" s="60"/>
      <c r="U327" s="61" t="n">
        <v>608.12</v>
      </c>
      <c r="V327" s="62"/>
      <c r="W327" s="62"/>
      <c r="X327" s="62"/>
      <c r="Y327" s="62"/>
      <c r="Z327" s="62"/>
      <c r="AA327" s="60"/>
      <c r="XEN327" s="32"/>
      <c r="XEO327" s="32"/>
      <c r="XEP327" s="32"/>
      <c r="XEQ327" s="32"/>
      <c r="XER327" s="32"/>
      <c r="XES327" s="32"/>
      <c r="XET327" s="32"/>
      <c r="XEU327" s="32"/>
      <c r="XEV327" s="32"/>
      <c r="XEW327" s="32"/>
      <c r="XEX327" s="32"/>
      <c r="XEY327" s="32"/>
      <c r="XEZ327" s="32"/>
      <c r="XFA327" s="32"/>
      <c r="XFB327" s="32"/>
      <c r="XFC327" s="32"/>
      <c r="XFD327" s="32"/>
    </row>
    <row r="328" s="40" customFormat="true" ht="18.75" hidden="false" customHeight="true" outlineLevel="0" collapsed="false">
      <c r="A328" s="42" t="s">
        <v>1185</v>
      </c>
      <c r="B328" s="39" t="s">
        <v>218</v>
      </c>
      <c r="C328" s="42"/>
      <c r="D328" s="38" t="s">
        <v>219</v>
      </c>
      <c r="E328" s="38" t="s">
        <v>1186</v>
      </c>
      <c r="F328" s="38"/>
      <c r="G328" s="59" t="n">
        <v>34868</v>
      </c>
      <c r="H328" s="39"/>
      <c r="I328" s="39"/>
      <c r="J328" s="60"/>
      <c r="K328" s="60"/>
      <c r="L328" s="60"/>
      <c r="M328" s="60"/>
      <c r="N328" s="60"/>
      <c r="O328" s="60"/>
      <c r="P328" s="60"/>
      <c r="Q328" s="60"/>
      <c r="R328" s="60"/>
      <c r="S328" s="60"/>
      <c r="T328" s="60"/>
      <c r="U328" s="61" t="n">
        <v>608.12</v>
      </c>
      <c r="V328" s="62"/>
      <c r="W328" s="62"/>
      <c r="X328" s="62"/>
      <c r="Y328" s="62"/>
      <c r="Z328" s="62"/>
      <c r="AA328" s="60"/>
      <c r="XEN328" s="32"/>
      <c r="XEO328" s="32"/>
      <c r="XEP328" s="32"/>
      <c r="XEQ328" s="32"/>
      <c r="XER328" s="32"/>
      <c r="XES328" s="32"/>
      <c r="XET328" s="32"/>
      <c r="XEU328" s="32"/>
      <c r="XEV328" s="32"/>
      <c r="XEW328" s="32"/>
      <c r="XEX328" s="32"/>
      <c r="XEY328" s="32"/>
      <c r="XEZ328" s="32"/>
      <c r="XFA328" s="32"/>
      <c r="XFB328" s="32"/>
      <c r="XFC328" s="32"/>
      <c r="XFD328" s="32"/>
    </row>
    <row r="329" s="40" customFormat="true" ht="18.75" hidden="false" customHeight="true" outlineLevel="0" collapsed="false">
      <c r="A329" s="42" t="s">
        <v>1187</v>
      </c>
      <c r="B329" s="39" t="s">
        <v>218</v>
      </c>
      <c r="C329" s="42"/>
      <c r="D329" s="38" t="s">
        <v>219</v>
      </c>
      <c r="E329" s="38" t="s">
        <v>1188</v>
      </c>
      <c r="F329" s="38"/>
      <c r="G329" s="59" t="s">
        <v>1189</v>
      </c>
      <c r="H329" s="39"/>
      <c r="I329" s="39"/>
      <c r="J329" s="60"/>
      <c r="K329" s="60"/>
      <c r="L329" s="60"/>
      <c r="M329" s="60"/>
      <c r="N329" s="60"/>
      <c r="O329" s="60"/>
      <c r="P329" s="60"/>
      <c r="Q329" s="60"/>
      <c r="R329" s="60"/>
      <c r="S329" s="60"/>
      <c r="T329" s="60"/>
      <c r="U329" s="61" t="n">
        <v>608.12</v>
      </c>
      <c r="V329" s="62"/>
      <c r="W329" s="62"/>
      <c r="X329" s="62"/>
      <c r="Y329" s="62"/>
      <c r="Z329" s="62"/>
      <c r="AA329" s="60"/>
      <c r="XEN329" s="32"/>
      <c r="XEO329" s="32"/>
      <c r="XEP329" s="32"/>
      <c r="XEQ329" s="32"/>
      <c r="XER329" s="32"/>
      <c r="XES329" s="32"/>
      <c r="XET329" s="32"/>
      <c r="XEU329" s="32"/>
      <c r="XEV329" s="32"/>
      <c r="XEW329" s="32"/>
      <c r="XEX329" s="32"/>
      <c r="XEY329" s="32"/>
      <c r="XEZ329" s="32"/>
      <c r="XFA329" s="32"/>
      <c r="XFB329" s="32"/>
      <c r="XFC329" s="32"/>
      <c r="XFD329" s="32"/>
    </row>
    <row r="330" s="40" customFormat="true" ht="18.75" hidden="false" customHeight="true" outlineLevel="0" collapsed="false">
      <c r="A330" s="42" t="s">
        <v>1190</v>
      </c>
      <c r="B330" s="39" t="s">
        <v>218</v>
      </c>
      <c r="C330" s="42"/>
      <c r="D330" s="38" t="s">
        <v>219</v>
      </c>
      <c r="E330" s="38" t="s">
        <v>1191</v>
      </c>
      <c r="F330" s="38"/>
      <c r="G330" s="65" t="s">
        <v>1192</v>
      </c>
      <c r="H330" s="39"/>
      <c r="I330" s="39"/>
      <c r="J330" s="60"/>
      <c r="K330" s="60"/>
      <c r="L330" s="60"/>
      <c r="M330" s="60"/>
      <c r="N330" s="60"/>
      <c r="O330" s="60"/>
      <c r="P330" s="60"/>
      <c r="Q330" s="60"/>
      <c r="R330" s="60"/>
      <c r="S330" s="60"/>
      <c r="T330" s="60"/>
      <c r="U330" s="61" t="n">
        <v>608.12</v>
      </c>
      <c r="V330" s="62"/>
      <c r="W330" s="62"/>
      <c r="X330" s="62"/>
      <c r="Y330" s="62"/>
      <c r="Z330" s="62"/>
      <c r="AA330" s="60"/>
      <c r="XEN330" s="32"/>
      <c r="XEO330" s="32"/>
      <c r="XEP330" s="32"/>
      <c r="XEQ330" s="32"/>
      <c r="XER330" s="32"/>
      <c r="XES330" s="32"/>
      <c r="XET330" s="32"/>
      <c r="XEU330" s="32"/>
      <c r="XEV330" s="32"/>
      <c r="XEW330" s="32"/>
      <c r="XEX330" s="32"/>
      <c r="XEY330" s="32"/>
      <c r="XEZ330" s="32"/>
      <c r="XFA330" s="32"/>
      <c r="XFB330" s="32"/>
      <c r="XFC330" s="32"/>
      <c r="XFD330" s="32"/>
    </row>
    <row r="331" s="40" customFormat="true" ht="18.75" hidden="false" customHeight="true" outlineLevel="0" collapsed="false">
      <c r="A331" s="42" t="s">
        <v>1193</v>
      </c>
      <c r="B331" s="37" t="s">
        <v>204</v>
      </c>
      <c r="C331" s="42"/>
      <c r="D331" s="38" t="s">
        <v>205</v>
      </c>
      <c r="E331" s="42" t="s">
        <v>1194</v>
      </c>
      <c r="F331" s="42"/>
      <c r="G331" s="65" t="s">
        <v>1195</v>
      </c>
      <c r="H331" s="39"/>
      <c r="I331" s="39"/>
      <c r="J331" s="60"/>
      <c r="K331" s="60"/>
      <c r="L331" s="60"/>
      <c r="M331" s="60"/>
      <c r="N331" s="60"/>
      <c r="O331" s="60"/>
      <c r="P331" s="60"/>
      <c r="Q331" s="60"/>
      <c r="R331" s="60"/>
      <c r="S331" s="60"/>
      <c r="T331" s="60"/>
      <c r="U331" s="61" t="n">
        <v>608.12</v>
      </c>
      <c r="V331" s="62"/>
      <c r="W331" s="62"/>
      <c r="X331" s="62"/>
      <c r="Y331" s="62"/>
      <c r="Z331" s="62"/>
      <c r="AA331" s="60"/>
      <c r="XEN331" s="32"/>
      <c r="XEO331" s="32"/>
      <c r="XEP331" s="32"/>
      <c r="XEQ331" s="32"/>
      <c r="XER331" s="32"/>
      <c r="XES331" s="32"/>
      <c r="XET331" s="32"/>
      <c r="XEU331" s="32"/>
      <c r="XEV331" s="32"/>
      <c r="XEW331" s="32"/>
      <c r="XEX331" s="32"/>
      <c r="XEY331" s="32"/>
      <c r="XEZ331" s="32"/>
      <c r="XFA331" s="32"/>
      <c r="XFB331" s="32"/>
      <c r="XFC331" s="32"/>
      <c r="XFD331" s="32"/>
    </row>
    <row r="332" s="40" customFormat="true" ht="18.75" hidden="false" customHeight="true" outlineLevel="0" collapsed="false">
      <c r="A332" s="39" t="s">
        <v>1196</v>
      </c>
      <c r="B332" s="43" t="s">
        <v>359</v>
      </c>
      <c r="C332" s="39"/>
      <c r="D332" s="43" t="s">
        <v>360</v>
      </c>
      <c r="E332" s="39" t="s">
        <v>1197</v>
      </c>
      <c r="F332" s="39"/>
      <c r="G332" s="70" t="s">
        <v>1198</v>
      </c>
      <c r="H332" s="39"/>
      <c r="I332" s="39"/>
      <c r="J332" s="60"/>
      <c r="K332" s="60"/>
      <c r="L332" s="60"/>
      <c r="M332" s="60"/>
      <c r="N332" s="60"/>
      <c r="O332" s="60"/>
      <c r="P332" s="60"/>
      <c r="Q332" s="60"/>
      <c r="R332" s="60"/>
      <c r="S332" s="60"/>
      <c r="T332" s="60"/>
      <c r="U332" s="62" t="n">
        <v>1216.24</v>
      </c>
      <c r="V332" s="62"/>
      <c r="W332" s="62"/>
      <c r="X332" s="62"/>
      <c r="Y332" s="62"/>
      <c r="Z332" s="62"/>
      <c r="AA332" s="60"/>
      <c r="XEN332" s="32"/>
      <c r="XEO332" s="32"/>
      <c r="XEP332" s="32"/>
      <c r="XEQ332" s="32"/>
      <c r="XER332" s="32"/>
      <c r="XES332" s="32"/>
      <c r="XET332" s="32"/>
      <c r="XEU332" s="32"/>
      <c r="XEV332" s="32"/>
      <c r="XEW332" s="32"/>
      <c r="XEX332" s="32"/>
      <c r="XEY332" s="32"/>
      <c r="XEZ332" s="32"/>
      <c r="XFA332" s="32"/>
      <c r="XFB332" s="32"/>
      <c r="XFC332" s="32"/>
      <c r="XFD332" s="32"/>
    </row>
  </sheetData>
  <autoFilter ref="A2:BS332">
    <sortState ref="A3:BS332">
      <sortCondition ref="A3:A332"/>
    </sortState>
  </autoFilter>
  <mergeCells count="11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K1:Q1"/>
    <mergeCell ref="T1:AA1"/>
  </mergeCells>
  <dataValidations count="1">
    <dataValidation allowBlank="true" error="Este campo tem o limite de 12 caracteres" errorStyle="stop" errorTitle="Limite de caracteres" operator="between" showDropDown="false" showErrorMessage="true" showInputMessage="true" sqref="B1:B2 D3:D5 B7 D9:D14 B15 D16:D18 B19 D20 D22:D29 D31:D45 D47:D52 B53 D54:D57 D59:D63 D69:D73 D75 B76 D77 D79 B80:B81 D82 B84 D85 D87 B88 D89:D91 B92:B93 D93:D96 D98:D109 D111:D117 B118 D119:D135 D137:D144 D147:D152 B153 D154:D156 B161 D162:D167 D169:D182 D186:D188 B189 D190:D195 D198:D207 B209:B210 D209:D214 D217 D220 D222:D234 D237:D238 D242 D244:D245 B249 B253 B258 B266 D268:D270 B271 D272:D273 D283:D284 D293:D295 B296:B297 V305:W308 D307:D308 F307 Z307 D310:D311 AA310 D312:D313 D321 D329:D332 B333:B1332" type="none">
      <formula1>0</formula1>
      <formula2>0</formula2>
    </dataValidation>
  </dataValidations>
  <hyperlinks>
    <hyperlink ref="A114" r:id="rId2" display="27579011840"/>
    <hyperlink ref="A115" r:id="rId3" display="12119321841"/>
    <hyperlink ref="A116" r:id="rId4" display="38957497889"/>
    <hyperlink ref="A118" r:id="rId5" display="33162218837"/>
    <hyperlink ref="A119" r:id="rId6" display="25087077838"/>
    <hyperlink ref="A120" r:id="rId7" display="02162756447"/>
    <hyperlink ref="A121" r:id="rId8" display="95881875400"/>
    <hyperlink ref="A263" r:id="rId9" display="07696320840"/>
  </hyperlink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1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cols>
    <col collapsed="false" customWidth="true" hidden="false" outlineLevel="0" max="1" min="1" style="80" width="27.71"/>
    <col collapsed="false" customWidth="true" hidden="false" outlineLevel="0" max="2" min="2" style="80" width="23.57"/>
    <col collapsed="false" customWidth="true" hidden="false" outlineLevel="0" max="3" min="3" style="80" width="37"/>
    <col collapsed="false" customWidth="true" hidden="false" outlineLevel="0" max="4" min="4" style="80" width="31.29"/>
    <col collapsed="false" customWidth="true" hidden="false" outlineLevel="0" max="13" min="5" style="81" width="1"/>
    <col collapsed="false" customWidth="true" hidden="false" outlineLevel="0" max="14" min="14" style="0" width="1"/>
    <col collapsed="false" customWidth="true" hidden="false" outlineLevel="0" max="20" min="15" style="0" width="23.57"/>
  </cols>
  <sheetData>
    <row r="1" customFormat="false" ht="36" hidden="false" customHeight="true" outlineLevel="0" collapsed="false">
      <c r="A1" s="82" t="s">
        <v>377</v>
      </c>
      <c r="B1" s="82" t="s">
        <v>378</v>
      </c>
      <c r="C1" s="82" t="s">
        <v>1199</v>
      </c>
      <c r="D1" s="83" t="s">
        <v>1200</v>
      </c>
      <c r="E1" s="84" t="s">
        <v>385</v>
      </c>
      <c r="F1" s="84"/>
      <c r="G1" s="84"/>
      <c r="H1" s="84"/>
      <c r="I1" s="84"/>
      <c r="J1" s="84"/>
      <c r="K1" s="84"/>
      <c r="L1" s="84"/>
      <c r="M1" s="84"/>
      <c r="N1" s="53" t="s">
        <v>386</v>
      </c>
      <c r="O1" s="53"/>
      <c r="P1" s="53"/>
      <c r="Q1" s="53"/>
      <c r="R1" s="53"/>
      <c r="S1" s="53"/>
      <c r="T1" s="53"/>
    </row>
    <row r="2" customFormat="false" ht="24" hidden="false" customHeight="true" outlineLevel="0" collapsed="false">
      <c r="A2" s="82"/>
      <c r="B2" s="82"/>
      <c r="C2" s="82"/>
      <c r="D2" s="83"/>
      <c r="E2" s="85" t="s">
        <v>1201</v>
      </c>
      <c r="F2" s="85" t="s">
        <v>1202</v>
      </c>
      <c r="G2" s="85" t="s">
        <v>1203</v>
      </c>
      <c r="H2" s="85" t="s">
        <v>1204</v>
      </c>
      <c r="I2" s="85" t="s">
        <v>1205</v>
      </c>
      <c r="J2" s="85" t="s">
        <v>1206</v>
      </c>
      <c r="K2" s="85" t="s">
        <v>1207</v>
      </c>
      <c r="L2" s="85" t="s">
        <v>1208</v>
      </c>
      <c r="M2" s="85" t="s">
        <v>1209</v>
      </c>
      <c r="N2" s="58" t="s">
        <v>397</v>
      </c>
      <c r="O2" s="58" t="s">
        <v>398</v>
      </c>
      <c r="P2" s="58" t="s">
        <v>399</v>
      </c>
      <c r="Q2" s="58" t="s">
        <v>1210</v>
      </c>
      <c r="R2" s="58" t="s">
        <v>401</v>
      </c>
      <c r="S2" s="58" t="s">
        <v>402</v>
      </c>
      <c r="T2" s="58" t="s">
        <v>403</v>
      </c>
    </row>
    <row r="3" customFormat="false" ht="19.5" hidden="false" customHeight="true" outlineLevel="0" collapsed="false">
      <c r="A3" s="86" t="n">
        <v>10816689000180</v>
      </c>
      <c r="B3" s="87"/>
      <c r="C3" s="87" t="s">
        <v>901</v>
      </c>
      <c r="D3" s="87" t="s">
        <v>901</v>
      </c>
      <c r="E3" s="88"/>
      <c r="F3" s="88"/>
      <c r="G3" s="88"/>
      <c r="H3" s="88"/>
      <c r="I3" s="88"/>
      <c r="J3" s="88"/>
      <c r="K3" s="88"/>
      <c r="L3" s="88"/>
      <c r="M3" s="88"/>
      <c r="N3" s="89"/>
      <c r="O3" s="90" t="n">
        <v>608.12</v>
      </c>
    </row>
    <row r="15" customFormat="false" ht="15" hidden="false" customHeight="false" outlineLevel="0" collapsed="false">
      <c r="A15" s="45"/>
      <c r="B15" s="45"/>
    </row>
    <row r="16" customFormat="false" ht="15" hidden="false" customHeight="false" outlineLevel="0" collapsed="false">
      <c r="A16" s="45"/>
      <c r="B16" s="45"/>
    </row>
    <row r="17" customFormat="false" ht="15" hidden="false" customHeight="false" outlineLevel="0" collapsed="false">
      <c r="A17" s="45"/>
      <c r="B17" s="45"/>
    </row>
    <row r="18" customFormat="false" ht="15" hidden="false" customHeight="false" outlineLevel="0" collapsed="false">
      <c r="A18" s="45"/>
      <c r="B18" s="45"/>
      <c r="N18" s="81"/>
      <c r="O18" s="81"/>
      <c r="P18" s="81"/>
      <c r="Q18" s="81"/>
      <c r="R18" s="81"/>
      <c r="S18" s="81"/>
      <c r="T18" s="81"/>
    </row>
  </sheetData>
  <mergeCells count="6">
    <mergeCell ref="A1:A2"/>
    <mergeCell ref="B1:B2"/>
    <mergeCell ref="C1:C2"/>
    <mergeCell ref="D1:D2"/>
    <mergeCell ref="E1:M1"/>
    <mergeCell ref="N1:T1"/>
  </mergeCells>
  <dataValidations count="1">
    <dataValidation allowBlank="true" error="Este campo tem o limite de 12 caracteres" errorStyle="stop" errorTitle="Limite de caracteres" operator="between" showDropDown="false" showErrorMessage="true" showInputMessage="true" sqref="A4:A6" type="none">
      <formula1>0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C20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1" activeCellId="0" sqref="C1"/>
    </sheetView>
  </sheetViews>
  <sheetFormatPr defaultColWidth="8.6796875" defaultRowHeight="15" customHeight="false" zeroHeight="false" outlineLevelRow="0" outlineLevelCol="0"/>
  <cols>
    <col collapsed="false" customWidth="true" hidden="false" outlineLevel="0" max="2" min="2" style="0" width="15"/>
    <col collapsed="false" customWidth="true" hidden="false" outlineLevel="0" max="3" min="3" style="0" width="19.42"/>
    <col collapsed="false" customWidth="true" hidden="false" outlineLevel="0" max="4" min="4" style="0" width="17.42"/>
    <col collapsed="false" customWidth="true" hidden="false" outlineLevel="0" max="12" min="5" style="0" width="17.71"/>
    <col collapsed="false" customWidth="true" hidden="false" outlineLevel="0" max="21" min="13" style="0" width="17.57"/>
    <col collapsed="false" customWidth="true" hidden="false" outlineLevel="0" max="26" min="26" style="0" width="11.57"/>
    <col collapsed="false" customWidth="true" hidden="false" outlineLevel="0" max="27" min="27" style="0" width="11.85"/>
    <col collapsed="false" customWidth="true" hidden="false" outlineLevel="0" max="28" min="28" style="0" width="10.71"/>
  </cols>
  <sheetData>
    <row r="1" customFormat="false" ht="15.75" hidden="false" customHeight="true" outlineLevel="0" collapsed="false">
      <c r="A1" s="80" t="s">
        <v>1211</v>
      </c>
      <c r="C1" s="91" t="s">
        <v>150</v>
      </c>
      <c r="D1" s="80"/>
      <c r="H1" s="89"/>
      <c r="Y1" s="80"/>
    </row>
    <row r="2" customFormat="false" ht="15.75" hidden="false" customHeight="true" outlineLevel="0" collapsed="false">
      <c r="A2" s="0" t="s">
        <v>1212</v>
      </c>
      <c r="C2" s="92" t="s">
        <v>1213</v>
      </c>
      <c r="D2" s="92"/>
      <c r="E2" s="92"/>
      <c r="F2" s="92"/>
      <c r="G2" s="92"/>
      <c r="H2" s="92"/>
    </row>
    <row r="3" customFormat="false" ht="15" hidden="false" customHeight="false" outlineLevel="0" collapsed="false">
      <c r="J3" s="0" t="str">
        <f aca="false">IF(AND(G2&gt;0,G1048576&lt;&gt;J2,G1048576&lt;&gt;J1,G1048576&lt;&gt;J1048576),G1048576,"")</f>
        <v/>
      </c>
      <c r="Z3" s="0" t="str">
        <f aca="false">IF(AND(W2&gt;0,W1048576&lt;&gt;Z2,W1048576&lt;&gt;Z1,W1048576&lt;&gt;Z1048576),W1048576,"")</f>
        <v/>
      </c>
      <c r="AA3" s="0" t="str">
        <f aca="false">IF(AND(X2&gt;0,X1048576&lt;&gt;AA2,X1048576&lt;&gt;AA1,X1048576&lt;&gt;AA1048576),X1048576,"")</f>
        <v/>
      </c>
      <c r="AB3" s="0" t="str">
        <f aca="false">IF(AND(Y2&gt;0,Y1048576&lt;&gt;AB2,Y1048576&lt;&gt;AB1,Y1048576&lt;&gt;AB1048576),Y1048576,"")</f>
        <v/>
      </c>
    </row>
    <row r="4" customFormat="false" ht="109.5" hidden="false" customHeight="true" outlineLevel="0" collapsed="false"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</row>
    <row r="5" customFormat="false" ht="30.75" hidden="false" customHeight="true" outlineLevel="0" collapsed="false">
      <c r="D5" s="94" t="s">
        <v>1214</v>
      </c>
      <c r="E5" s="94" t="s">
        <v>1215</v>
      </c>
      <c r="F5" s="94" t="s">
        <v>1216</v>
      </c>
      <c r="G5" s="94" t="s">
        <v>1217</v>
      </c>
      <c r="H5" s="94" t="s">
        <v>1218</v>
      </c>
      <c r="I5" s="94" t="s">
        <v>1219</v>
      </c>
      <c r="J5" s="95" t="s">
        <v>1220</v>
      </c>
      <c r="K5" s="95" t="s">
        <v>1221</v>
      </c>
      <c r="L5" s="95" t="s">
        <v>1222</v>
      </c>
      <c r="M5" s="95" t="s">
        <v>1223</v>
      </c>
      <c r="N5" s="95" t="s">
        <v>1224</v>
      </c>
      <c r="O5" s="95" t="s">
        <v>1225</v>
      </c>
      <c r="P5" s="95" t="s">
        <v>1226</v>
      </c>
      <c r="Q5" s="95" t="s">
        <v>1227</v>
      </c>
      <c r="R5" s="95" t="s">
        <v>1228</v>
      </c>
      <c r="S5" s="95" t="s">
        <v>1229</v>
      </c>
      <c r="T5" s="95" t="s">
        <v>1230</v>
      </c>
      <c r="U5" s="95" t="s">
        <v>1231</v>
      </c>
    </row>
    <row r="6" customFormat="false" ht="15.75" hidden="false" customHeight="true" outlineLevel="0" collapsed="false">
      <c r="A6" s="96" t="s">
        <v>1232</v>
      </c>
      <c r="B6" s="96"/>
      <c r="C6" s="96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 t="s">
        <v>1233</v>
      </c>
      <c r="P6" s="97"/>
      <c r="Q6" s="97"/>
      <c r="R6" s="97" t="s">
        <v>1233</v>
      </c>
      <c r="S6" s="97"/>
      <c r="T6" s="97" t="s">
        <v>1233</v>
      </c>
      <c r="U6" s="97"/>
    </row>
    <row r="7" customFormat="false" ht="15" hidden="false" customHeight="false" outlineLevel="0" collapsed="false">
      <c r="A7" s="96" t="s">
        <v>1234</v>
      </c>
      <c r="B7" s="96"/>
      <c r="C7" s="96"/>
      <c r="D7" s="98" t="n">
        <f aca="false">COUNTIF(Beneficiario!J:J,"&gt;=0")+COUNTIF(Provisorio!E:E,"&gt;=0")</f>
        <v>0</v>
      </c>
      <c r="E7" s="98" t="n">
        <f aca="false">COUNTIF(Beneficiario!K:K,"&gt;=0")+COUNTIF(Provisorio!F:F,"&gt;=0")</f>
        <v>0</v>
      </c>
      <c r="F7" s="98" t="n">
        <f aca="false">COUNTIF(Beneficiario!L:L,"&gt;=0")+COUNTIF(Provisorio!G:G,"&gt;=0")</f>
        <v>0</v>
      </c>
      <c r="G7" s="98" t="n">
        <f aca="false">COUNTIF(Beneficiario!M:M,"&gt;=0")</f>
        <v>0</v>
      </c>
      <c r="H7" s="98" t="n">
        <f aca="false">COUNTIF(Beneficiario!N:N,"&gt;=0")+COUNTIF(Provisorio!H:H,"&gt;=0")</f>
        <v>0</v>
      </c>
      <c r="I7" s="98" t="n">
        <f aca="false">COUNTIF(Beneficiario!O:O,"&gt;=0")+COUNTIF(Provisorio!I:I,"&gt;=0")</f>
        <v>0</v>
      </c>
      <c r="J7" s="98" t="n">
        <f aca="false">COUNTIF(Beneficiario!P:P,"&gt;=0")+COUNTIF(Provisorio!J:J,"&gt;=0")</f>
        <v>0</v>
      </c>
      <c r="K7" s="98" t="n">
        <f aca="false">COUNTIF(Beneficiario!Q:Q,"&gt;=0")+COUNTIF(Provisorio!K:K,"&gt;=0")</f>
        <v>0</v>
      </c>
      <c r="L7" s="98" t="n">
        <f aca="false">COUNTIF(Beneficiario!R:R,"&gt;=0")+COUNTIF(Provisorio!L:L,"&gt;=0")</f>
        <v>0</v>
      </c>
      <c r="M7" s="98" t="n">
        <f aca="false">COUNTIF(Beneficiario!S:S,"&gt;=0")+COUNTIF(Provisorio!M:M,"&gt;=0")</f>
        <v>0</v>
      </c>
      <c r="N7" s="98" t="n">
        <f aca="false">COUNTIF(Beneficiario!T:T,"&gt;=0")+COUNTIF(Provisorio!N:N,"&gt;=0")</f>
        <v>0</v>
      </c>
      <c r="O7" s="98" t="n">
        <f aca="false">COUNTIF(Beneficiario!U:U,"&gt;=0")+COUNTIF(Provisorio!O:O,"&gt;=0")</f>
        <v>330</v>
      </c>
      <c r="P7" s="98" t="n">
        <f aca="false">COUNTIF(Beneficiario!V:V,"&gt;=0")+COUNTIF(Provisorio!P:P,"&gt;=0")</f>
        <v>0</v>
      </c>
      <c r="Q7" s="98" t="n">
        <f aca="false">COUNTIF(Beneficiario!W:W,"&gt;=0")+COUNTIF(Provisorio!Q:Q,"&gt;=0")</f>
        <v>0</v>
      </c>
      <c r="R7" s="98" t="n">
        <f aca="false">COUNTIF(Beneficiario!X:X,"&gt;=0")+COUNTIF(Provisorio!R:R,"&gt;=0")</f>
        <v>1</v>
      </c>
      <c r="S7" s="98" t="n">
        <f aca="false">COUNTIF(Beneficiario!Y:Y,"&gt;=0")+COUNTIF(Provisorio!S:S,"&gt;=0")</f>
        <v>0</v>
      </c>
      <c r="T7" s="98" t="n">
        <f aca="false">COUNTIF(Beneficiario!Z:Z,"&gt;=0")+COUNTIF(Provisorio!T:T,"&gt;=0")</f>
        <v>15</v>
      </c>
      <c r="U7" s="98" t="n">
        <f aca="false">COUNTIF(Beneficiario!AA:AA,"&gt;=0")</f>
        <v>0</v>
      </c>
    </row>
    <row r="8" customFormat="false" ht="15" hidden="false" customHeight="false" outlineLevel="0" collapsed="false">
      <c r="A8" s="96" t="s">
        <v>1235</v>
      </c>
      <c r="B8" s="96"/>
      <c r="C8" s="96"/>
      <c r="D8" s="99" t="n">
        <f aca="false">SUM(Beneficiario!J:J)+SUM(Provisorio!E:E)</f>
        <v>0</v>
      </c>
      <c r="E8" s="99" t="n">
        <f aca="false">SUM(Beneficiario!K:K)+SUM(Provisorio!F:F)</f>
        <v>0</v>
      </c>
      <c r="F8" s="99" t="n">
        <f aca="false">SUM(Beneficiario!L:L)+SUM(Provisorio!G:G)</f>
        <v>0</v>
      </c>
      <c r="G8" s="99" t="n">
        <f aca="false">SUM(Beneficiario!M:M)</f>
        <v>0</v>
      </c>
      <c r="H8" s="99" t="n">
        <f aca="false">SUM(Beneficiario!N:N)+SUM(Provisorio!H:H)</f>
        <v>0</v>
      </c>
      <c r="I8" s="99" t="n">
        <f aca="false">SUM(Beneficiario!O:O)+SUM(Provisorio!I:I)</f>
        <v>0</v>
      </c>
      <c r="J8" s="99" t="n">
        <f aca="false">SUM(Beneficiario!P:P)+SUM(Provisorio!J:J)</f>
        <v>0</v>
      </c>
      <c r="K8" s="99" t="n">
        <f aca="false">SUM(Beneficiario!Q:Q)+SUM(Provisorio!K:K)</f>
        <v>0</v>
      </c>
      <c r="L8" s="99" t="n">
        <f aca="false">SUM(Beneficiario!R:R)+SUM(Provisorio!L:L)</f>
        <v>0</v>
      </c>
      <c r="M8" s="99" t="n">
        <f aca="false">SUM(Beneficiario!S:S)+SUM(Provisorio!M:M)</f>
        <v>0</v>
      </c>
      <c r="N8" s="99" t="n">
        <f aca="false">SUM(Beneficiario!T:T)+SUM(Provisorio!N:N)</f>
        <v>0</v>
      </c>
      <c r="O8" s="99" t="n">
        <f aca="false">SUM(Beneficiario!U:U)+SUM(Provisorio!O:O)</f>
        <v>211387.03</v>
      </c>
      <c r="P8" s="99" t="n">
        <f aca="false">SUM(Beneficiario!V:V)+SUM(Provisorio!P:P)</f>
        <v>0</v>
      </c>
      <c r="Q8" s="99" t="n">
        <f aca="false">SUM(Beneficiario!W:W)+SUM(Provisorio!Q:Q)</f>
        <v>0</v>
      </c>
      <c r="R8" s="99" t="n">
        <f aca="false">SUM(Beneficiario!X:X)+SUM(Provisorio!R:R)</f>
        <v>608.12</v>
      </c>
      <c r="S8" s="99" t="n">
        <f aca="false">SUM(Beneficiario!Y:Y)+SUM(Provisorio!S:S)</f>
        <v>0</v>
      </c>
      <c r="T8" s="99" t="n">
        <f aca="false">SUM(Beneficiario!Z:Z)+SUM(Provisorio!T:T)</f>
        <v>5265.5</v>
      </c>
      <c r="U8" s="99" t="n">
        <f aca="false">SUM(Beneficiario!AA:AA)</f>
        <v>0</v>
      </c>
    </row>
    <row r="9" customFormat="false" ht="15" hidden="false" customHeight="false" outlineLevel="0" collapsed="false">
      <c r="I9" s="100"/>
    </row>
    <row r="10" customFormat="false" ht="15" hidden="false" customHeight="false" outlineLevel="0" collapsed="false">
      <c r="J10" s="101"/>
      <c r="K10" s="101"/>
      <c r="L10" s="101"/>
      <c r="M10" s="101"/>
      <c r="N10" s="101"/>
      <c r="Z10" s="101"/>
    </row>
    <row r="12" customFormat="false" ht="15" hidden="false" customHeight="false" outlineLevel="0" collapsed="false">
      <c r="E12" s="45"/>
      <c r="F12" s="102"/>
      <c r="G12" s="102"/>
    </row>
    <row r="14" customFormat="false" ht="15" hidden="false" customHeight="false" outlineLevel="0" collapsed="false">
      <c r="E14" s="103"/>
      <c r="F14" s="103"/>
      <c r="G14" s="103"/>
    </row>
    <row r="15" customFormat="false" ht="15" hidden="false" customHeight="false" outlineLevel="0" collapsed="false">
      <c r="E15" s="103"/>
      <c r="F15" s="103"/>
      <c r="G15" s="103"/>
      <c r="J15" s="104"/>
    </row>
    <row r="16" customFormat="false" ht="15" hidden="false" customHeight="false" outlineLevel="0" collapsed="false">
      <c r="E16" s="103"/>
      <c r="F16" s="103"/>
      <c r="G16" s="103"/>
    </row>
    <row r="20" customFormat="false" ht="15" hidden="false" customHeight="false" outlineLevel="0" collapsed="false">
      <c r="Z20" s="101"/>
      <c r="AA20" s="101"/>
      <c r="AB20" s="101"/>
      <c r="AC20" s="101"/>
    </row>
  </sheetData>
  <sheetProtection algorithmName="SHA-512" hashValue="cJO7v/bCxoIePDrVmj0Z+YTZSSS9NkCT0t5+dCQIuq79wS7veLTo2m+G3lZco5bZMH0IUVEo0T1FX+Ne1oFNWQ==" saltValue="VjGT5ImKAEUA/tglxjjJKw==" spinCount="100000" sheet="true" objects="true" scenarios="true" selectLockedCells="true"/>
  <mergeCells count="4">
    <mergeCell ref="C2:H2"/>
    <mergeCell ref="A6:C6"/>
    <mergeCell ref="A7:C7"/>
    <mergeCell ref="A8:C8"/>
  </mergeCells>
  <conditionalFormatting sqref="L6">
    <cfRule type="expression" priority="2" aboveAverage="0" equalAverage="0" bottom="0" percent="0" rank="0" text="" dxfId="6">
      <formula>LEN(TRIM(L6))&gt;0</formula>
    </cfRule>
    <cfRule type="expression" priority="3" aboveAverage="0" equalAverage="0" bottom="0" percent="0" rank="0" text="" dxfId="7">
      <formula>L$7&gt;0</formula>
    </cfRule>
  </conditionalFormatting>
  <conditionalFormatting sqref="M6:U6">
    <cfRule type="expression" priority="4" aboveAverage="0" equalAverage="0" bottom="0" percent="0" rank="0" text="" dxfId="6">
      <formula>LEN(TRIM(M6))&gt;0</formula>
    </cfRule>
    <cfRule type="expression" priority="5" aboveAverage="0" equalAverage="0" bottom="0" percent="0" rank="0" text="" dxfId="7">
      <formula>M$7&gt;0</formula>
    </cfRule>
  </conditionalFormatting>
  <conditionalFormatting sqref="K6">
    <cfRule type="expression" priority="6" aboveAverage="0" equalAverage="0" bottom="0" percent="0" rank="0" text="" dxfId="6">
      <formula>LEN(TRIM(K6))&gt;0</formula>
    </cfRule>
    <cfRule type="expression" priority="7" aboveAverage="0" equalAverage="0" bottom="0" percent="0" rank="0" text="" dxfId="7">
      <formula>K$7&gt;0</formula>
    </cfRule>
  </conditionalFormatting>
  <conditionalFormatting sqref="J6">
    <cfRule type="expression" priority="8" aboveAverage="0" equalAverage="0" bottom="0" percent="0" rank="0" text="" dxfId="6">
      <formula>LEN(TRIM(J6))&gt;0</formula>
    </cfRule>
    <cfRule type="expression" priority="9" aboveAverage="0" equalAverage="0" bottom="0" percent="0" rank="0" text="" dxfId="7">
      <formula>J$7&gt;0</formula>
    </cfRule>
  </conditionalFormatting>
  <conditionalFormatting sqref="I6">
    <cfRule type="expression" priority="10" aboveAverage="0" equalAverage="0" bottom="0" percent="0" rank="0" text="" dxfId="6">
      <formula>LEN(TRIM(I6))&gt;0</formula>
    </cfRule>
    <cfRule type="expression" priority="11" aboveAverage="0" equalAverage="0" bottom="0" percent="0" rank="0" text="" dxfId="7">
      <formula>I$7&gt;0</formula>
    </cfRule>
  </conditionalFormatting>
  <conditionalFormatting sqref="H6">
    <cfRule type="expression" priority="12" aboveAverage="0" equalAverage="0" bottom="0" percent="0" rank="0" text="" dxfId="6">
      <formula>LEN(TRIM(H6))&gt;0</formula>
    </cfRule>
    <cfRule type="expression" priority="13" aboveAverage="0" equalAverage="0" bottom="0" percent="0" rank="0" text="" dxfId="7">
      <formula>H$7&gt;0</formula>
    </cfRule>
  </conditionalFormatting>
  <conditionalFormatting sqref="F6">
    <cfRule type="expression" priority="14" aboveAverage="0" equalAverage="0" bottom="0" percent="0" rank="0" text="" dxfId="6">
      <formula>LEN(TRIM(F6))&gt;0</formula>
    </cfRule>
    <cfRule type="expression" priority="15" aboveAverage="0" equalAverage="0" bottom="0" percent="0" rank="0" text="" dxfId="7">
      <formula>F$7&gt;0</formula>
    </cfRule>
  </conditionalFormatting>
  <conditionalFormatting sqref="E6">
    <cfRule type="expression" priority="16" aboveAverage="0" equalAverage="0" bottom="0" percent="0" rank="0" text="" dxfId="6">
      <formula>LEN(TRIM(E6))&gt;0</formula>
    </cfRule>
    <cfRule type="expression" priority="17" aboveAverage="0" equalAverage="0" bottom="0" percent="0" rank="0" text="" dxfId="7">
      <formula>E$7&gt;0</formula>
    </cfRule>
  </conditionalFormatting>
  <conditionalFormatting sqref="D6">
    <cfRule type="expression" priority="18" aboveAverage="0" equalAverage="0" bottom="0" percent="0" rank="0" text="" dxfId="6">
      <formula>LEN(TRIM(D6))&gt;0</formula>
    </cfRule>
    <cfRule type="expression" priority="19" aboveAverage="0" equalAverage="0" bottom="0" percent="0" rank="0" text="" dxfId="7">
      <formula>D$7&gt;0</formula>
    </cfRule>
  </conditionalFormatting>
  <conditionalFormatting sqref="G6">
    <cfRule type="expression" priority="20" aboveAverage="0" equalAverage="0" bottom="0" percent="0" rank="0" text="" dxfId="6">
      <formula>LEN(TRIM(G6))&gt;0</formula>
    </cfRule>
    <cfRule type="expression" priority="21" aboveAverage="0" equalAverage="0" bottom="0" percent="0" rank="0" text="" dxfId="7">
      <formula>G$7&gt;0</formula>
    </cfRule>
  </conditionalFormatting>
  <conditionalFormatting sqref="C1">
    <cfRule type="expression" priority="22" aboveAverage="0" equalAverage="0" bottom="0" percent="0" rank="0" text="" dxfId="6">
      <formula>LEN(TRIM(C1))&gt;0</formula>
    </cfRule>
    <cfRule type="expression" priority="23" aboveAverage="0" equalAverage="0" bottom="0" percent="0" rank="0" text="" dxfId="7">
      <formula>C$7&gt;0</formula>
    </cfRule>
  </conditionalFormatting>
  <conditionalFormatting sqref="C2">
    <cfRule type="cellIs" priority="24" operator="equal" aboveAverage="0" equalAverage="0" bottom="0" percent="0" rank="0" text="" dxfId="7">
      <formula>""</formula>
    </cfRule>
  </conditionalFormatting>
  <dataValidations count="1">
    <dataValidation allowBlank="true" errorStyle="stop" operator="between" showDropDown="false" showErrorMessage="true" showInputMessage="true" sqref="E12:G13" type="textLength">
      <formula1>1</formula1>
      <formula2>11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ódulo1.macros">
                <anchor moveWithCells="true" sizeWithCells="false">
                  <from>
                    <xdr:col>2</xdr:col>
                    <xdr:colOff>28440</xdr:colOff>
                    <xdr:row>12</xdr:row>
                    <xdr:rowOff>19080</xdr:rowOff>
                  </from>
                  <to>
                    <xdr:col>3</xdr:col>
                    <xdr:colOff>133200</xdr:colOff>
                    <xdr:row>13</xdr:row>
                    <xdr:rowOff>162000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C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C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CI1" colorId="64" zoomScale="85" zoomScaleNormal="85" zoomScalePageLayoutView="100" workbookViewId="0">
      <selection pane="topLeft" activeCell="A1" activeCellId="0" sqref="A1"/>
    </sheetView>
  </sheetViews>
  <sheetFormatPr defaultColWidth="9.14843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cols>
    <col collapsed="false" customWidth="true" hidden="false" outlineLevel="0" max="4" min="4" style="80" width="9.14"/>
  </cols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C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ColWidth="8.6796875" defaultRowHeight="15" customHeight="false" zeroHeight="false" outlineLevelRow="0" outlineLevelCol="0"/>
  <sheetData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LibreOffice/26.2.4.2$Linux_X86_64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2013-10-01T19:07:43Z</dcterms:created>
  <dc:creator>VR Benefícios</dc:creator>
  <dc:description/>
  <dc:language>pt-BR</dc:language>
  <cp:lastModifiedBy/>
  <dcterms:modified xsi:type="dcterms:W3CDTF">2026-08-03T16:54:46Z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