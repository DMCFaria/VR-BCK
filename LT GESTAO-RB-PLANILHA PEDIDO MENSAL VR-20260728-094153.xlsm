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T Gestão\Documents\VALE ALIMENTAÇÃO\08.2026\"/>
    </mc:Choice>
  </mc:AlternateContent>
  <xr:revisionPtr revIDLastSave="0" documentId="8_{D917EA72-1C79-4D50-9329-95D5A0A3326D}" xr6:coauthVersionLast="47" xr6:coauthVersionMax="47" xr10:uidLastSave="{00000000-0000-0000-0000-000000000000}"/>
  <workbookProtection workbookAlgorithmName="SHA-512" workbookHashValue="H6S/lIId4oh0IvFdheoAUaA59kh/15T9fcK3fty2zi4LND0npodEffb2pMlyflo27HvwvJGkcD7XzzTJx5cR1w==" workbookSaltValue="Y9APRpTUA44ZCB9SiBnSQA==" workbookSpinCount="100000" lockStructure="1"/>
  <bookViews>
    <workbookView xWindow="-108" yWindow="-108" windowWidth="23256" windowHeight="12456" tabRatio="403" firstSheet="1" activeTab="3" xr2:uid="{00000000-000D-0000-FFFF-FFFF00000000}"/>
  </bookViews>
  <sheets>
    <sheet name="Orientação_Preenchimento" sheetId="20" r:id="rId1"/>
    <sheet name="Local de Entrega" sheetId="1" r:id="rId2"/>
    <sheet name="Centro de Custo" sheetId="2" r:id="rId3"/>
    <sheet name="Beneficiario" sheetId="3" r:id="rId4"/>
    <sheet name="Provisorio" sheetId="21" r:id="rId5"/>
    <sheet name="Sumario" sheetId="4" r:id="rId6"/>
    <sheet name="00" sheetId="5" state="hidden" r:id="rId7"/>
    <sheet name="10" sheetId="6" state="hidden" r:id="rId8"/>
    <sheet name="11" sheetId="22" state="hidden" r:id="rId9"/>
    <sheet name="12" sheetId="26" state="hidden" r:id="rId10"/>
    <sheet name="20" sheetId="7" state="hidden" r:id="rId11"/>
    <sheet name="30" sheetId="8" state="hidden" r:id="rId12"/>
    <sheet name="40" sheetId="9" state="hidden" r:id="rId13"/>
    <sheet name="50" sheetId="10" state="hidden" r:id="rId14"/>
    <sheet name="60" sheetId="11" state="hidden" r:id="rId15"/>
    <sheet name="99" sheetId="12" state="hidden" r:id="rId16"/>
    <sheet name="60R" sheetId="14" state="hidden" r:id="rId17"/>
    <sheet name="60A" sheetId="13" state="hidden" r:id="rId18"/>
    <sheet name="60V" sheetId="15" state="hidden" r:id="rId19"/>
    <sheet name="60C" sheetId="16" state="hidden" r:id="rId20"/>
    <sheet name="60CESTA" sheetId="24" state="hidden" r:id="rId21"/>
    <sheet name="60NAT" sheetId="25" state="hidden" r:id="rId22"/>
    <sheet name="60AXA" sheetId="27" state="hidden" r:id="rId23"/>
    <sheet name="60VRS" sheetId="29" state="hidden" r:id="rId24"/>
    <sheet name="60AXR" sheetId="28" state="hidden" r:id="rId25"/>
    <sheet name="60MBF" sheetId="31" state="hidden" r:id="rId26"/>
    <sheet name="60MBP" sheetId="34" state="hidden" r:id="rId27"/>
    <sheet name="60MBX" sheetId="32" state="hidden" r:id="rId28"/>
    <sheet name="60FLX" sheetId="33" state="hidden" r:id="rId29"/>
    <sheet name="60VRG" sheetId="30" state="hidden" r:id="rId30"/>
    <sheet name="cpf" sheetId="17" state="hidden" r:id="rId31"/>
    <sheet name="60VRM" sheetId="38" state="hidden" r:id="rId32"/>
    <sheet name="60VAM" sheetId="39" state="hidden" r:id="rId33"/>
    <sheet name="60RXM" sheetId="40" state="hidden" r:id="rId34"/>
    <sheet name="60AXM" sheetId="41" state="hidden" r:id="rId35"/>
    <sheet name="60FXM" sheetId="42" state="hidden" r:id="rId36"/>
    <sheet name="60HOM" sheetId="43" state="hidden" r:id="rId37"/>
    <sheet name="60VBM" sheetId="44" state="hidden" r:id="rId38"/>
  </sheets>
  <definedNames>
    <definedName name="_xlnm._FilterDatabase" localSheetId="3" hidden="1">Beneficiario!$D$1:$D$1049</definedName>
  </definedNames>
  <calcPr calcId="181029"/>
</workbook>
</file>

<file path=xl/calcChain.xml><?xml version="1.0" encoding="utf-8"?>
<calcChain xmlns="http://schemas.openxmlformats.org/spreadsheetml/2006/main">
  <c r="AA3" i="4" l="1"/>
  <c r="T7" i="4" l="1"/>
  <c r="T4" i="4" s="1"/>
  <c r="O8" i="4"/>
  <c r="P8" i="4"/>
  <c r="Q8" i="4"/>
  <c r="R8" i="4"/>
  <c r="S8" i="4"/>
  <c r="T8" i="4"/>
  <c r="N8" i="4"/>
  <c r="O7" i="4"/>
  <c r="O4" i="4" s="1"/>
  <c r="P7" i="4"/>
  <c r="P4" i="4" s="1"/>
  <c r="Q7" i="4"/>
  <c r="Q4" i="4" s="1"/>
  <c r="R7" i="4"/>
  <c r="R4" i="4" s="1"/>
  <c r="S7" i="4"/>
  <c r="S4" i="4" s="1"/>
  <c r="N7" i="4"/>
  <c r="N4" i="4" s="1"/>
  <c r="AB3" i="4" l="1"/>
  <c r="M8" i="4" l="1"/>
  <c r="Z3" i="4" l="1"/>
  <c r="M7" i="4" l="1"/>
  <c r="L8" i="4"/>
  <c r="L7" i="4"/>
  <c r="M4" i="4" l="1"/>
  <c r="L4" i="4" l="1"/>
  <c r="J7" i="4" l="1"/>
  <c r="J4" i="4" s="1"/>
  <c r="K7" i="4"/>
  <c r="K4" i="4" s="1"/>
  <c r="J8" i="4"/>
  <c r="K8" i="4"/>
  <c r="J3" i="4" l="1"/>
  <c r="H7" i="4" l="1"/>
  <c r="H4" i="4" s="1"/>
  <c r="H8" i="4" l="1"/>
  <c r="G8" i="4"/>
  <c r="G7" i="4"/>
  <c r="G4" i="4" s="1"/>
  <c r="I8" i="4" l="1"/>
  <c r="I7" i="4"/>
  <c r="I4" i="4" s="1"/>
  <c r="F8" i="4" l="1"/>
  <c r="F7" i="4"/>
  <c r="F4" i="4" s="1"/>
  <c r="E7" i="4" l="1"/>
  <c r="E4" i="4" s="1"/>
  <c r="D7" i="4"/>
  <c r="D4" i="4" s="1"/>
  <c r="E8" i="4" l="1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Vinicius Batalini Menosse - (4134-4207)</author>
  </authors>
  <commentList>
    <comment ref="I1" authorId="0" shapeId="0" xr:uid="{00000000-0006-0000-0300-000001000000}">
      <text>
        <r>
          <rPr>
            <sz val="11"/>
            <color rgb="FF000000"/>
            <rFont val="Helvetica Neue"/>
          </rPr>
          <t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<sst xmlns="http://schemas.openxmlformats.org/spreadsheetml/2006/main" count="455" uniqueCount="247">
  <si>
    <t>Razão Social:</t>
  </si>
  <si>
    <t>Atenção:</t>
  </si>
  <si>
    <t>* campo de preenchimento obrigatório</t>
  </si>
  <si>
    <t>Complemento</t>
  </si>
  <si>
    <t>Nome Interlocutor</t>
  </si>
  <si>
    <t>Nome Impressão Cartão</t>
  </si>
  <si>
    <t>Matrícula</t>
  </si>
  <si>
    <t>M – Masculino F – Feminino
No preenchimento deve ser informado apenas a letra: M (Masculino) ou F (Feminino)</t>
  </si>
  <si>
    <t xml:space="preserve">Informar a data no formato dd/mm/aaaa </t>
  </si>
  <si>
    <t>Código Centro de Custo</t>
  </si>
  <si>
    <t>Importante: antes de iniciar o preenchimento do pedido, leia com atenção as orientações a seguir:</t>
  </si>
  <si>
    <t xml:space="preserve"> - Os campos obrigatórios estão identificados com * (asterisco);</t>
  </si>
  <si>
    <t xml:space="preserve"> - Não alterar este layout em nenhuma hipótese;</t>
  </si>
  <si>
    <t xml:space="preserve"> - No pedido pode ser solicitado mais de um benefício desde de que sejam da mesma modalidade de pagamento: pré-pago ou pós-pago;</t>
  </si>
  <si>
    <t>Como enviar o arquivo</t>
  </si>
  <si>
    <t xml:space="preserve"> - Selecione a modalidade de pagamento (pré-pago/pós-pago) e os produtos contidos no arquivo a ser importado;</t>
  </si>
  <si>
    <t>Beneficiário -  Registro obrigatório</t>
  </si>
  <si>
    <t>Provisório -  Registro não obrigatório</t>
  </si>
  <si>
    <t>Faixa Salarial</t>
  </si>
  <si>
    <t xml:space="preserve">Valor Total:   </t>
  </si>
  <si>
    <t xml:space="preserve">Data de disponibilização:   </t>
  </si>
  <si>
    <t xml:space="preserve">Quantidade Total de Beneficiário:   </t>
  </si>
  <si>
    <t>CNPJ / Código do Cliente:</t>
  </si>
  <si>
    <t xml:space="preserve"> - Permitido um CNPJ/Código do Cliente por pedido. Caso possua mais de um CNPJ/Código do Cliente, faça pedidos separados.</t>
  </si>
  <si>
    <t xml:space="preserve"> - Se o pedido for apenas para gerar cartões preencha zero (0) no campo Valor do Crédito.</t>
  </si>
  <si>
    <t>Havendo o registro do Local de Entrega preencher os campos obrigatórios.</t>
  </si>
  <si>
    <t>Código identificador do local de entrega criado pelo Cliente RH. 
Se o mesmo não estiver cadastrado no Portal Cliente RH, será criado. 
Se já existir o local será atualizado de acordo com o registro enviado.  
Tamanho máximo: 30 caracteres</t>
  </si>
  <si>
    <t>Rua, Avenida, Travessa etc.  
Tamanho máximo: 20 caracteres.</t>
  </si>
  <si>
    <t>Informar apenas números. 
Para um número 4B, o "B" deve ser informado no complemento. 
Tamanho máximo: 6 caracteres.</t>
  </si>
  <si>
    <t>Informar a sigla do Estado. 
Tamanho máximo: 2 caracteres.</t>
  </si>
  <si>
    <t>Local de Entrega-Associação de CNPJ: Registro não obrigatório.</t>
  </si>
  <si>
    <t>Havendo uma associação de CNPJ, preencher os campos obrigatórios.</t>
  </si>
  <si>
    <t>CNPJ da empresa associada ao local de entrega. Caso o faturamento do contrato do RH estiver configurado como pagamento descentralizado, os beneficiários associados à esse CNPJ serão faturados separadamente.</t>
  </si>
  <si>
    <t>O nome de impressão da empresa (linha 3 do cartão) dos cartões daquele local de entrega.</t>
  </si>
  <si>
    <t>Local de Entrega-Responsável: Registro não obrigatório.</t>
  </si>
  <si>
    <t>Havendo um responsável pelo Local de Entrega, preencher os campos obrigatórios.</t>
  </si>
  <si>
    <t>Havendo o registro preencher os campos obrigatórios.</t>
  </si>
  <si>
    <t>Código identificador do centro de custo criado pelo Cliente RH. 
Se o mesmo não estiver registrado, será criado.
Se já existir o centro de custo será atualizado de acordo com o registro enviado. 
Tamanho máximo: 12 caracteres.</t>
  </si>
  <si>
    <t>Descritivo para o Centro de Custo.
Tamanho máximo: 80 caracteres.</t>
  </si>
  <si>
    <t>Responsável pelo recebimento dos cartões dos Beneficiários no centro de custo. 
Se não for informado, será considerado o interlocutor responsável cadastrado no local de entrega. 
Tamanho máximo: 30 caracteres.</t>
  </si>
  <si>
    <t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</si>
  <si>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>O Código de local de entrega do Beneficiário.
Tamanho máximo: 30 caracteres.</t>
  </si>
  <si>
    <t>O Código de centro de custo do Beneficiário.
Tamanho máximo: 12 caracteres.</t>
  </si>
  <si>
    <t>O Código de local de entrega do Provisório.
Tamanho máximo: 30 caracteres.</t>
  </si>
  <si>
    <t>O Código de centro de custo do Provisório.
Tamanho máximo: 12 caracteres.</t>
  </si>
  <si>
    <r>
      <t xml:space="preserve">Código local entrega*
</t>
    </r>
    <r>
      <rPr>
        <b/>
        <sz val="8"/>
        <color rgb="FFFFFFFF"/>
        <rFont val="Calibri"/>
        <family val="2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</si>
  <si>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t xml:space="preserve">Nome local entrega*
</t>
    </r>
    <r>
      <rPr>
        <b/>
        <sz val="8"/>
        <color rgb="FFFFFFFF"/>
        <rFont val="Calibri"/>
        <family val="2"/>
      </rPr>
      <t>máximo 80 caracteres
Descritivo para o local de entrega. 
Esta Campo será a identificação no Portal, Relatórios e Comprovantes de entrega</t>
    </r>
  </si>
  <si>
    <r>
      <t xml:space="preserve">Tipo Logradouro*
</t>
    </r>
    <r>
      <rPr>
        <b/>
        <sz val="8"/>
        <color rgb="FFFFFFFF"/>
        <rFont val="Calibri"/>
        <family val="2"/>
      </rPr>
      <t>máximo 20 caracteres
Informar: Rua, Avenida, Travessa etc</t>
    </r>
  </si>
  <si>
    <r>
      <t xml:space="preserve">Logradouro*
</t>
    </r>
    <r>
      <rPr>
        <b/>
        <sz val="8"/>
        <color rgb="FFFFFFFF"/>
        <rFont val="Calibri"/>
        <family val="2"/>
      </rPr>
      <t>máximo 40 caracteres
Informar: Nome da Rua, Avenida, Travessa etc.</t>
    </r>
  </si>
  <si>
    <r>
      <t xml:space="preserve">Número*
</t>
    </r>
    <r>
      <rPr>
        <b/>
        <sz val="8"/>
        <color rgb="FFFFFFFF"/>
        <rFont val="Calibri"/>
        <family val="2"/>
      </rPr>
      <t>máx. 6 caracteres
Informar apenas números. 
Para um número 4B, o "B" deve ser informado no complemento.</t>
    </r>
  </si>
  <si>
    <r>
      <t xml:space="preserve">Complemento
</t>
    </r>
    <r>
      <rPr>
        <b/>
        <sz val="8"/>
        <color rgb="FFFFFFFF"/>
        <rFont val="Calibri"/>
        <family val="2"/>
      </rPr>
      <t>máximo 20 caracteres
Descritivo do complemento do Endereço Ex: Bloco, Andar e etc.</t>
    </r>
  </si>
  <si>
    <r>
      <t xml:space="preserve">Bairro*
</t>
    </r>
    <r>
      <rPr>
        <b/>
        <sz val="8"/>
        <color rgb="FFFFFFFF"/>
        <rFont val="Calibri"/>
        <family val="2"/>
      </rPr>
      <t>máximo 30 caracteres
Informar o Bairro</t>
    </r>
  </si>
  <si>
    <r>
      <t xml:space="preserve">Cidade*
</t>
    </r>
    <r>
      <rPr>
        <b/>
        <sz val="8"/>
        <color rgb="FFFFFFFF"/>
        <rFont val="Calibri"/>
        <family val="2"/>
      </rPr>
      <t>máximo 30 caracteres
Informar a Cidade</t>
    </r>
  </si>
  <si>
    <r>
      <t xml:space="preserve">UF*
</t>
    </r>
    <r>
      <rPr>
        <b/>
        <sz val="8"/>
        <color rgb="FFFFFFFF"/>
        <rFont val="Calibri"/>
        <family val="2"/>
      </rPr>
      <t>máx. 2 caracteres
Informar a Sigla do Estado</t>
    </r>
  </si>
  <si>
    <r>
      <t xml:space="preserve">CEP*
</t>
    </r>
    <r>
      <rPr>
        <b/>
        <sz val="8"/>
        <color rgb="FFFFFFFF"/>
        <rFont val="Calibri"/>
        <family val="2"/>
      </rPr>
      <t>máx. 8 caracteres
Informar apenas números, Não colocar traço
Colocar os "zeros" à esquerda</t>
    </r>
  </si>
  <si>
    <r>
      <t xml:space="preserve">Nome Interlocutor*
</t>
    </r>
    <r>
      <rPr>
        <b/>
        <sz val="8"/>
        <color rgb="FFFFFFFF"/>
        <rFont val="Calibri"/>
        <family val="2"/>
      </rPr>
      <t>máximo 30 caracteres
Informar Nome do Responsável pelo recebimento dos cartões pode ser mais de um nome respeitando o limite do campo</t>
    </r>
  </si>
  <si>
    <r>
      <t xml:space="preserve">CNPJ do Local de Entrega
</t>
    </r>
    <r>
      <rPr>
        <b/>
        <sz val="8"/>
        <color rgb="FFFFFFFF"/>
        <rFont val="Calibri"/>
        <family val="2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</si>
  <si>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t xml:space="preserve">Nome Impressão Cartão 
</t>
    </r>
    <r>
      <rPr>
        <b/>
        <sz val="8"/>
        <color rgb="FFFFFFFF"/>
        <rFont val="Calibri"/>
        <family val="2"/>
      </rPr>
      <t xml:space="preserve">24 caracteres
Utilizado apenas Quando faturamento é Descentralizado
Nome da Empresa que será impresso no cartão (linha 3 do cartão) </t>
    </r>
  </si>
  <si>
    <r>
      <t xml:space="preserve">E-Mail Alerta Financeiro
</t>
    </r>
    <r>
      <rPr>
        <b/>
        <sz val="8"/>
        <color rgb="FFFFFFFF"/>
        <rFont val="Calibri"/>
        <family val="2"/>
      </rPr>
      <t>70 caracteres
E-mail utilizado para alerta financeiro (disponibilização da Nota Fiscal) quando o faturamento for descentralizado.</t>
    </r>
  </si>
  <si>
    <r>
      <t xml:space="preserve">E-mail Responsável Desbloqueio de ARs 
(usuário portal - principal)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</si>
  <si>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- 2)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</si>
  <si>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- 3)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</si>
  <si>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Código centro custo*
</t>
    </r>
    <r>
      <rPr>
        <b/>
        <sz val="8"/>
        <color rgb="FFFFFFFF"/>
        <rFont val="Calibri"/>
        <family val="2"/>
      </rPr>
      <t>máximo 12 caracteres
Código identificador do centro de custo criado pelo Cliente RH. 
Se o mesmo não estiver registrado, será criado, Caso já exista o centro de custo será atualizado de acordo com o registro enviado.</t>
    </r>
  </si>
  <si>
    <r>
      <t xml:space="preserve">Nome centro custo*
</t>
    </r>
    <r>
      <rPr>
        <b/>
        <sz val="8"/>
        <color rgb="FFFFFFFF"/>
        <rFont val="Calibri"/>
        <family val="2"/>
      </rPr>
      <t>máximo 80 caracteres
Descritivo para o Centro de Custo.</t>
    </r>
  </si>
  <si>
    <r>
      <t xml:space="preserve">Nome Interlocutor
</t>
    </r>
    <r>
      <rPr>
        <b/>
        <sz val="8"/>
        <color rgb="FFFFFFFF"/>
        <rFont val="Calibri"/>
        <family val="2"/>
      </rPr>
      <t>máximo 30 caracteres
Responsável pelo recebimento dos cartões dos Beneficiários no centro de custo. 
Se não for informado, será considerado o interlocutor responsável cadastrado no local de entrega</t>
    </r>
  </si>
  <si>
    <r>
      <rPr>
        <b/>
        <sz val="11"/>
        <color rgb="FFFFFFFF"/>
        <rFont val="Calibri"/>
        <family val="2"/>
      </rPr>
      <t>Código local entrega</t>
    </r>
    <r>
      <rPr>
        <b/>
        <sz val="11"/>
        <color rgb="FFDD0806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máximo 30 caracteres
</t>
    </r>
    <r>
      <rPr>
        <b/>
        <sz val="8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Informar o Código local de entrega do Beneficiário. Endereço da Empresa
</t>
    </r>
    <r>
      <rPr>
        <b/>
        <sz val="8"/>
        <color rgb="FFFFFFFF"/>
        <rFont val="Calibri"/>
        <family val="2"/>
      </rPr>
      <t>Cadastrado na ABA Local de Entrega</t>
    </r>
  </si>
  <si>
    <r>
      <rPr>
        <b/>
        <sz val="11"/>
        <color rgb="FFFFFFFF"/>
        <rFont val="Calibri"/>
        <family val="2"/>
      </rPr>
      <t xml:space="preserve">Código centro de custo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12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Informar o Código de centro de custo do Beneficiário.
</t>
    </r>
    <r>
      <rPr>
        <sz val="8"/>
        <color rgb="FFFFFFFF"/>
        <rFont val="Calibri"/>
        <family val="2"/>
      </rPr>
      <t>Cadastrado na ABA Centro de Custo</t>
    </r>
  </si>
  <si>
    <r>
      <rPr>
        <b/>
        <sz val="11"/>
        <color rgb="FFFFFFFF"/>
        <rFont val="Calibri"/>
        <family val="2"/>
      </rPr>
      <t xml:space="preserve">Matrícula
</t>
    </r>
    <r>
      <rPr>
        <b/>
        <sz val="8"/>
        <color rgb="FFFFFFFF"/>
        <rFont val="Calibri"/>
        <family val="2"/>
      </rPr>
      <t xml:space="preserve">máx. </t>
    </r>
    <r>
      <rPr>
        <sz val="8"/>
        <color rgb="FFFFFFFF"/>
        <rFont val="Calibri"/>
        <family val="2"/>
      </rPr>
      <t xml:space="preserve">10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Queira Informar a Matrícula do Funcionáirio</t>
    </r>
  </si>
  <si>
    <r>
      <rPr>
        <b/>
        <sz val="11"/>
        <color rgb="FFFFFFFF"/>
        <rFont val="Calibri"/>
        <family val="2"/>
      </rPr>
      <t>Nome completo</t>
    </r>
    <r>
      <rPr>
        <b/>
        <sz val="11"/>
        <color rgb="FFDD0806"/>
        <rFont val="Calibri"/>
        <family val="2"/>
      </rPr>
      <t>*</t>
    </r>
    <r>
      <rPr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máximo 40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o nome ultrapasse o limite de Caracteres o pedido será rejeitado e iremos apontar qual o nome que excede o limite</t>
    </r>
  </si>
  <si>
    <r>
      <rPr>
        <b/>
        <sz val="11"/>
        <color rgb="FFFFFFFF"/>
        <rFont val="Calibri"/>
        <family val="2"/>
      </rPr>
      <t xml:space="preserve">Nome Impressão Cartão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24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Nome do beneficiário que será impresso no cartão (não utilizar caracteres especiais: acentos, pontos, vírgula, dentre outros)
</t>
    </r>
    <r>
      <rPr>
        <sz val="8"/>
        <color rgb="FFFFFFFF"/>
        <rFont val="Calibri"/>
        <family val="2"/>
      </rPr>
      <t>Se o mesmo estiver em branco, será utilizado o nome completo do beneficiário, podendo ser aplicadas regras de abreviação se ultrapassar 24 caracteres. (Abreviaremos o nome do Meio)</t>
    </r>
  </si>
  <si>
    <t xml:space="preserve">Data Nascimento*
(DD/MM/AAAA)
Informar a data no formato dd/mm/aaaa </t>
  </si>
  <si>
    <r>
      <rPr>
        <b/>
        <sz val="11"/>
        <color rgb="FFFFFFFF"/>
        <rFont val="Calibri"/>
        <family val="2"/>
      </rPr>
      <t xml:space="preserve">Sexo
</t>
    </r>
    <r>
      <rPr>
        <sz val="8"/>
        <color rgb="FFFFFFFF"/>
        <rFont val="Calibri"/>
        <family val="2"/>
      </rPr>
      <t xml:space="preserve">(M/F)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No preenchimento deve ser informado apenas a letra: M (Masculino) ou F (Feminino)</t>
    </r>
  </si>
  <si>
    <r>
      <rPr>
        <b/>
        <sz val="11"/>
        <color rgb="FFFFFFFF"/>
        <rFont val="Calibri"/>
        <family val="2"/>
      </rPr>
      <t xml:space="preserve">Faixa Salarial
</t>
    </r>
    <r>
      <rPr>
        <b/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(seguir instuções de preenchimento)
</t>
    </r>
    <r>
      <rPr>
        <sz val="8"/>
        <color rgb="FFFFFFFF"/>
        <rFont val="Calibri"/>
        <family val="2"/>
      </rPr>
      <t>Utilizado apenas para o Produto VR CULTURA Utilizar o formato indicado</t>
    </r>
  </si>
  <si>
    <t>Produtos Padrão VR</t>
  </si>
  <si>
    <r>
      <t xml:space="preserve">VR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</si>
  <si>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</si>
  <si>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Auto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</si>
  <si>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Cultura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</si>
  <si>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>VR Alimentação Cesta
Valor</t>
    </r>
    <r>
      <rPr>
        <sz val="8"/>
        <color rgb="FFFFFFFF"/>
        <rFont val="Calibri"/>
        <family val="2"/>
      </rPr>
      <t xml:space="preserve"> do crédito
Infomar o valor do Beneficío, Não deve ser alterado o formato do campo caso possua centavos informa como o EX: 100,55</t>
    </r>
  </si>
  <si>
    <r>
      <t xml:space="preserve">VR Boas Festas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</si>
  <si>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</si>
  <si>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</si>
  <si>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 Multibenefícios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</si>
  <si>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</si>
  <si>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Código local entrega*
</t>
    </r>
    <r>
      <rPr>
        <b/>
        <sz val="8"/>
        <color rgb="FFFFFFFF"/>
        <rFont val="Calibri"/>
        <family val="2"/>
      </rPr>
      <t>máximo 30 caracteres
Informar o Código local de entrega do Beneficiário. Endereço da Empresa
Cadastrado na ABA Local de Entrega</t>
    </r>
  </si>
  <si>
    <r>
      <t xml:space="preserve">Código centro de custo
</t>
    </r>
    <r>
      <rPr>
        <b/>
        <sz val="8"/>
        <color rgb="FFFFFFFF"/>
        <rFont val="Calibri"/>
        <family val="2"/>
      </rPr>
      <t>máximo 12 caracteres
Informar o Código de centro de custo do Beneficiário.
Cadastrado na ABA Centro de Custo</t>
    </r>
  </si>
  <si>
    <r>
      <t xml:space="preserve">Identificação*
</t>
    </r>
    <r>
      <rPr>
        <b/>
        <sz val="8"/>
        <color rgb="FFFFFFFF"/>
        <rFont val="Calibri"/>
        <family val="2"/>
      </rPr>
      <t>máximo 40 caracteres
Nome de Identificação, obrigatório para envio de benefícios a um cartão provisório.
Este nome será a identificação no Portal</t>
    </r>
  </si>
  <si>
    <r>
      <t xml:space="preserve">Nome Impressão Cartão
</t>
    </r>
    <r>
      <rPr>
        <b/>
        <sz val="8"/>
        <color rgb="FFFFFFFF"/>
        <rFont val="Calibri"/>
        <family val="2"/>
      </rPr>
      <t xml:space="preserve">máximo 24 caracteres
Nome do Provisório que será impresso no cartão (não utilizar caracteres especiais: acentos, pontos, vírgula, dentre outros)
</t>
    </r>
  </si>
  <si>
    <r>
      <t xml:space="preserve">VR+VA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</si>
  <si>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t xml:space="preserve">VR Multibenefício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100,55</t>
    </r>
  </si>
  <si>
    <r>
      <t xml:space="preserve">VR Auxílio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</si>
  <si>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Auxílio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</si>
  <si>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Boas Festas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</si>
  <si>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Alimentação Cesta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</si>
  <si>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Auto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</si>
  <si>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</si>
  <si>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VR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</si>
  <si>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</si>
  <si>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</si>
  <si>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</rPr>
      <t>,,</t>
    </r>
    <r>
      <rPr>
        <sz val="11"/>
        <rFont val="Tahoma"/>
        <family val="2"/>
      </rPr>
      <t xml:space="preserve"> , dentre outros);</t>
    </r>
  </si>
  <si>
    <t xml:space="preserve"> - Após preencher todos os dados na planilha de pedidos, clique na aba Sumario;</t>
  </si>
  <si>
    <r>
      <rPr>
        <sz val="8"/>
        <rFont val="Tahoma"/>
        <family val="2"/>
      </rPr>
      <t xml:space="preserve"> -  </t>
    </r>
    <r>
      <rPr>
        <sz val="11"/>
        <rFont val="Tahoma"/>
        <family val="2"/>
      </rPr>
      <t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</si>
  <si>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</si>
  <si>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</si>
  <si>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</si>
  <si>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</si>
  <si>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</si>
  <si>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</si>
  <si>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</si>
  <si>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>Local de Entrega: registro não obrigatório desde que já tenha sido cadastrado anteriormente.</t>
  </si>
  <si>
    <r>
      <rPr>
        <b/>
        <sz val="11"/>
        <color indexed="8"/>
        <rFont val="Tahoma"/>
        <family val="2"/>
      </rPr>
      <t>Código Local Entrega</t>
    </r>
    <r>
      <rPr>
        <b/>
        <sz val="11"/>
        <rFont val="Tahoma"/>
        <family val="2"/>
      </rPr>
      <t>*</t>
    </r>
  </si>
  <si>
    <r>
      <rPr>
        <b/>
        <sz val="11"/>
        <color indexed="8"/>
        <rFont val="Tahoma"/>
        <family val="2"/>
      </rPr>
      <t>Nome do Local de Ent</t>
    </r>
    <r>
      <rPr>
        <b/>
        <sz val="11"/>
        <rFont val="Tahoma"/>
        <family val="2"/>
      </rPr>
      <t>rega*</t>
    </r>
  </si>
  <si>
    <t>Descritivo para o local de entrega. 
Tamanho máximo: 80 caracteres.</t>
  </si>
  <si>
    <t>Tipo Logradouro*</t>
  </si>
  <si>
    <r>
      <rPr>
        <b/>
        <sz val="11"/>
        <rFont val="Tahoma"/>
        <family val="2"/>
      </rPr>
      <t>Logradouro*</t>
    </r>
    <r>
      <rPr>
        <sz val="10"/>
        <color indexed="8"/>
        <rFont val="Verdana"/>
        <family val="2"/>
      </rPr>
      <t/>
    </r>
  </si>
  <si>
    <t xml:space="preserve">Nome da Rua, Avenida, Travessa etc. 
Descritivo para o local de entrega.
Tamanho máximo: 40 caracteres. </t>
  </si>
  <si>
    <t>Número*</t>
  </si>
  <si>
    <t>Tamanho máximo: 20 caracteres.</t>
  </si>
  <si>
    <t>Bairro*</t>
  </si>
  <si>
    <t>Tamanho máximo: 30 caracteres.</t>
  </si>
  <si>
    <t>Cidade*</t>
  </si>
  <si>
    <t>UF*</t>
  </si>
  <si>
    <t>CEP*</t>
  </si>
  <si>
    <t>Não colocar traço, apenas números. 
Colocar os "zeros" à esquerda.  
Tamanho máximo: 8 caracteres.</t>
  </si>
  <si>
    <t>Nome Interlocutor*</t>
  </si>
  <si>
    <t>Responsável pelo recebimento dos cartões dos Beneficiários no local de entrega.
Tamanho máximo: 30 caracteres</t>
  </si>
  <si>
    <t>CNPJ Local Entrega*</t>
  </si>
  <si>
    <t>Nome Impressão Cartão*</t>
  </si>
  <si>
    <t>Email alerta financeiro</t>
  </si>
  <si>
    <t>Email utilizado para alerta financeiro (disponibilização de boleto) quando o faturamento for descentralizado.</t>
  </si>
  <si>
    <t>Email do Interlocutor Principal (usuário portal)*</t>
  </si>
  <si>
    <t>Email (usuário portal), esse usuário poderá desbloquear as AR's geradas neste pedido.</t>
  </si>
  <si>
    <t>Email Interlocutor 2 
(usuário portal)</t>
  </si>
  <si>
    <t>Email Interlocutor 3 
(usuário portal)</t>
  </si>
  <si>
    <t>Centro de Custo -  Registro não obrigatório</t>
  </si>
  <si>
    <t>Código Centro de Custo*</t>
  </si>
  <si>
    <t>Nome Centro de Custo*</t>
  </si>
  <si>
    <t>Preencher os campos obrigatórios.</t>
  </si>
  <si>
    <r>
      <rPr>
        <b/>
        <sz val="11"/>
        <rFont val="Tahoma"/>
        <family val="2"/>
      </rPr>
      <t>CPF Beneficiário*</t>
    </r>
  </si>
  <si>
    <r>
      <rPr>
        <b/>
        <sz val="11"/>
        <rFont val="Tahoma"/>
        <family val="2"/>
      </rPr>
      <t>Código Local Entrega*</t>
    </r>
  </si>
  <si>
    <r>
      <rPr>
        <b/>
        <sz val="11"/>
        <rFont val="Tahoma"/>
        <family val="2"/>
      </rPr>
      <t>Nome Completo*</t>
    </r>
  </si>
  <si>
    <t>Nome completo do beneficiário.
Tamanho máximo: 40 caracteres.</t>
  </si>
  <si>
    <t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</si>
  <si>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>Tamanho máximo: 10 caracteres.</t>
  </si>
  <si>
    <r>
      <rPr>
        <b/>
        <sz val="11"/>
        <rFont val="Tahoma"/>
        <family val="2"/>
      </rPr>
      <t>Data Nascimento*</t>
    </r>
  </si>
  <si>
    <r>
      <t> </t>
    </r>
    <r>
      <rPr>
        <b/>
        <sz val="11"/>
        <color indexed="8"/>
        <rFont val="Tahoma"/>
        <family val="2"/>
      </rPr>
      <t>Sexo</t>
    </r>
  </si>
  <si>
    <t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</si>
  <si>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</si>
  <si>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</si>
  <si>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>Identificação*</t>
  </si>
  <si>
    <t>Nome de Identificação, obrigatório para envio de benefícios a um cartão provisório. 
Tamanho máximo: 40 caracteres.</t>
  </si>
  <si>
    <t>Nome do Provisório que será impresso no cartão (não utilizar caracteres especiais: acentos, pontos, vírgula, dentre outros)
É opcional para os cartões provisórios.
Tamanho máximo: 24 caracteres.</t>
  </si>
  <si>
    <t>VR Multi</t>
  </si>
  <si>
    <r>
      <rPr>
        <b/>
        <sz val="11"/>
        <color rgb="FFFFFFFF"/>
        <rFont val="Calibri"/>
        <family val="2"/>
      </rPr>
      <t xml:space="preserve">VR Multi Refeição
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</si>
  <si>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rPr>
        <b/>
        <sz val="11"/>
        <color rgb="FFFFFFFF"/>
        <rFont val="Calibri"/>
        <family val="2"/>
      </rPr>
      <t xml:space="preserve">VR Multi Alimentação 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</si>
  <si>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rPr>
        <b/>
        <sz val="11"/>
        <color rgb="FFFFFFFF"/>
        <rFont val="Calibri"/>
        <family val="2"/>
      </rPr>
      <t xml:space="preserve">VR Multi Refeição Auxílio
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</si>
  <si>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rPr>
        <b/>
        <sz val="11"/>
        <color rgb="FFFFFFFF"/>
        <rFont val="Calibri"/>
        <family val="2"/>
      </rPr>
      <t xml:space="preserve">VR Multi Alimentação Auxílio
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</si>
  <si>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rPr>
        <b/>
        <sz val="11"/>
        <color rgb="FFFFFFFF"/>
        <rFont val="Calibri"/>
        <family val="2"/>
      </rPr>
      <t xml:space="preserve">VR Multi VR+VA
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</si>
  <si>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rPr>
        <b/>
        <sz val="11"/>
        <color rgb="FFFFFFFF"/>
        <rFont val="Calibri"/>
        <family val="2"/>
      </rPr>
      <t xml:space="preserve">VR Multi Home office
</t>
    </r>
    <r>
      <rPr>
        <sz val="8"/>
        <color rgb="FFFFFFFF"/>
        <rFont val="Calibri"/>
        <family val="2"/>
      </rPr>
      <t xml:space="preserve">Valor do crédito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</si>
  <si>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t>VR Refeição (Valor do Crédito)</t>
  </si>
  <si>
    <t>VR Alimentação (Valor do Crédito)</t>
  </si>
  <si>
    <t>VR Auto (Valor do Crédito)</t>
  </si>
  <si>
    <t>VR Cultura (Valor do Crédito)</t>
  </si>
  <si>
    <t>VR Alimentação Cesta (Valor do Crédito)</t>
  </si>
  <si>
    <t>VR Boas Festas (Valor do Crédito)</t>
  </si>
  <si>
    <t>VR Auxílio Refeição (Valor do Crédito)</t>
  </si>
  <si>
    <t>VR Auxílio Alimentação (Valor do Crédito)</t>
  </si>
  <si>
    <t>VR Multibenefício (Valor do Crédito)</t>
  </si>
  <si>
    <t>VR+VA (Valor do Crédito)</t>
  </si>
  <si>
    <t>VR Multi Refeição (Valor do Crédito)</t>
  </si>
  <si>
    <t>VR Multi Alimentação (Valor do Crédito)</t>
  </si>
  <si>
    <t>VR Multi Refeição Auxílio (Valor do Crédito)</t>
  </si>
  <si>
    <t>VR Multi Alimentação Auxílio (Valor do Crédito)</t>
  </si>
  <si>
    <t>Informar o Valor do Benefício Mensal (Preencher apenas Números, não alterando o formato do Campo caso o valor possua centavos informar como EX: 250,00)</t>
  </si>
  <si>
    <t>Informar o Valor do Benefício Mensal 
(Preencher apenas Números, não alterando o formato do Campo caso o valor possua centavos informar como EX: 250,00)</t>
  </si>
  <si>
    <r>
      <t xml:space="preserve">VR 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</si>
  <si>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VR Multi Mobilidade (Valor do Crédito)</t>
  </si>
  <si>
    <t>VR Multi Home office  (Valor do Crédito)</t>
  </si>
  <si>
    <t>VR Multi VR+VA  (Valor do Crédito)</t>
  </si>
  <si>
    <t xml:space="preserve">CPF*
obrigatório 11 caracteres
Informar apenas números
Se o mesmo não estiver registrado, será criado 
Se já existir o Beneficiário será atualizado de acordo com o registro enviado </t>
  </si>
  <si>
    <t>VR Refeição</t>
  </si>
  <si>
    <t>VR Alimentação</t>
  </si>
  <si>
    <t>VR Auto</t>
  </si>
  <si>
    <t>VR Cultura</t>
  </si>
  <si>
    <t>VR Cesta</t>
  </si>
  <si>
    <t>VR Boas Festas</t>
  </si>
  <si>
    <t>VR Auxílio Alimentação</t>
  </si>
  <si>
    <t>VR Auxílio Refeição</t>
  </si>
  <si>
    <t>VR Multibenefício</t>
  </si>
  <si>
    <t>VR+VA</t>
  </si>
  <si>
    <t>VR Multi Refeição</t>
  </si>
  <si>
    <t>VR Multi Alimentação</t>
  </si>
  <si>
    <t>VR Multi Refeição Auxílio</t>
  </si>
  <si>
    <t>VR Multi Alimentação Auxílio</t>
  </si>
  <si>
    <t>VR Multi VR+VA</t>
  </si>
  <si>
    <t>VR Multi Home Office</t>
  </si>
  <si>
    <t>VR Multi Mobilidade</t>
  </si>
  <si>
    <t>35315360000167</t>
  </si>
  <si>
    <t>FEDCORP ADMINISTRADORA DE BENEFICIOS LTDA</t>
  </si>
  <si>
    <t>suportebeneficios@grupofedcorp.com.br</t>
  </si>
  <si>
    <t>CONDOMINIO DO EDIFICIO ARARANGUA</t>
  </si>
  <si>
    <t>CONDOMINIO DO EDIFICIO QUITITE</t>
  </si>
  <si>
    <t>03219287000133</t>
  </si>
  <si>
    <t>86786191000184</t>
  </si>
  <si>
    <t>4485</t>
  </si>
  <si>
    <t>RJ</t>
  </si>
  <si>
    <t>AVENIDA</t>
  </si>
  <si>
    <t>DAS AMERICAS</t>
  </si>
  <si>
    <t>SALA 201</t>
  </si>
  <si>
    <t>BARRA DA TIJUCA</t>
  </si>
  <si>
    <t>RIO DE JANEIRO</t>
  </si>
  <si>
    <t>22631004</t>
  </si>
  <si>
    <t>COND DO EDIFICIO ARARANGUA</t>
  </si>
  <si>
    <t>COND DO EDIFICIO QUITITE</t>
  </si>
  <si>
    <t>00396522000154</t>
  </si>
  <si>
    <t>12969799000108</t>
  </si>
  <si>
    <t>CONDOMINIO ALBATROZ</t>
  </si>
  <si>
    <t>27052025</t>
  </si>
  <si>
    <t>CONDOMINIO DO EDIFICIO MARGARIDA</t>
  </si>
  <si>
    <t>05286549000108</t>
  </si>
  <si>
    <t>COND ED LAGOA TOP RESIDENCE SERVICE</t>
  </si>
  <si>
    <t>CONDOMINIO DO EDIFICIO ELEGANCE RECREIO</t>
  </si>
  <si>
    <t>73791360000122</t>
  </si>
  <si>
    <t>CONDOMINIO DO EDIFICIO VIENA</t>
  </si>
  <si>
    <t>COND DO CONJ. DE RES. JARDIM BARRA LINDA</t>
  </si>
  <si>
    <t>CONDOMINIO DO EDIFICIO MAISON D'ORLEANS</t>
  </si>
  <si>
    <t>ASSOCIACAO GREENWOOD PARK</t>
  </si>
  <si>
    <t>CONDOMINIO DO EDIFICIO CAROLINA SANTOS</t>
  </si>
  <si>
    <t>14528826000132</t>
  </si>
  <si>
    <t>CONDOMINIO DO EDIFICIO YEDA</t>
  </si>
  <si>
    <t>06158382000162</t>
  </si>
  <si>
    <t xml:space="preserve">23542581000199 </t>
  </si>
  <si>
    <t>GEOVANE MARTINS DOS REIS</t>
  </si>
  <si>
    <t>COND PARK PREMIUM RECREIO RESIDENCES.</t>
  </si>
  <si>
    <t>09806956788</t>
  </si>
  <si>
    <t>12021982</t>
  </si>
  <si>
    <t>RAFAEL DA ROCHA FELIX</t>
  </si>
  <si>
    <t>30061988</t>
  </si>
  <si>
    <t>03738217355</t>
  </si>
  <si>
    <t>15193582702</t>
  </si>
  <si>
    <t>CARLOS VINICIUS FERREIRA DA COSTA</t>
  </si>
  <si>
    <t>16071993</t>
  </si>
  <si>
    <t>40226540000102</t>
  </si>
  <si>
    <t>47202633000146</t>
  </si>
  <si>
    <t>72571029000134</t>
  </si>
  <si>
    <t>30250625000172</t>
  </si>
  <si>
    <t>RODRIGO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</si>
</sst>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Tahoma"/>
      <family val="2"/>
    </font>
    <font>
      <sz val="10"/>
      <color indexed="8"/>
      <name val="Tahoma"/>
      <family val="2"/>
    </font>
    <font>
      <sz val="11"/>
      <color rgb="FFE2922F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8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DD0806"/>
      <name val="Calibri"/>
      <family val="2"/>
    </font>
    <font>
      <sz val="8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Helvetica Neue"/>
    </font>
    <font>
      <sz val="11"/>
      <color rgb="FF000000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b/>
      <sz val="16"/>
      <color theme="0"/>
      <name val="Tahoma"/>
      <family val="2"/>
    </font>
    <font>
      <vertAlign val="superscript"/>
      <sz val="11"/>
      <name val="Tahoma"/>
      <family val="2"/>
    </font>
    <font>
      <b/>
      <sz val="14"/>
      <color theme="0"/>
      <name val="Tahoma"/>
      <family val="2"/>
    </font>
    <font>
      <sz val="8"/>
      <name val="Tahoma"/>
      <family val="2"/>
    </font>
    <font>
      <b/>
      <sz val="11"/>
      <color rgb="FF00B050"/>
      <name val="Tahoma"/>
      <family val="2"/>
    </font>
    <font>
      <b/>
      <sz val="11"/>
      <color theme="0"/>
      <name val="Tahoma"/>
      <family val="2"/>
    </font>
    <font>
      <b/>
      <sz val="11"/>
      <color rgb="FF000000"/>
      <name val="Tahoma"/>
      <family val="2"/>
    </font>
    <font>
      <b/>
      <sz val="11"/>
      <name val="Tahoma"/>
      <family val="2"/>
    </font>
    <font>
      <sz val="10"/>
      <color indexed="8"/>
      <name val="Verdana"/>
      <family val="2"/>
    </font>
    <font>
      <sz val="10"/>
      <color rgb="FFFF0000"/>
      <name val="Tahoma"/>
      <family val="2"/>
    </font>
    <font>
      <sz val="10"/>
      <color rgb="FF000000"/>
      <name val="Tahoma"/>
      <family val="2"/>
    </font>
    <font>
      <sz val="11"/>
      <color rgb="FF000000"/>
      <name val="Tahoma"/>
      <family val="2"/>
    </font>
    <font>
      <sz val="10"/>
      <name val="Tahoma"/>
      <family val="2"/>
    </font>
    <font>
      <u/>
      <sz val="10"/>
      <color indexed="8"/>
      <name val="Tahoma"/>
      <family val="2"/>
    </font>
    <font>
      <sz val="11"/>
      <color indexed="8"/>
      <name val="Tahoma"/>
      <family val="2"/>
    </font>
    <font>
      <b/>
      <sz val="10"/>
      <name val="Tahoma"/>
      <family val="2"/>
    </font>
    <font>
      <b/>
      <sz val="9"/>
      <color indexed="8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</font>
    <font>
      <sz val="12"/>
      <color theme="1"/>
      <name val="Calibri"/>
      <family val="2"/>
      <scheme val="minor"/>
    </font>
    <font>
      <sz val="12"/>
      <color indexed="63"/>
      <name val="Calibri"/>
      <family val="2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rgb="FF333333"/>
      <name val="Arial"/>
      <family val="2"/>
    </font>
    <font>
      <sz val="12"/>
      <color rgb="FF000000"/>
      <name val="Calibri"/>
      <family val="2"/>
      <scheme val="minor"/>
    </font>
    <font>
      <u/>
      <sz val="11"/>
      <name val="Calibri"/>
      <family val="2"/>
      <scheme val="minor"/>
    </font>
    <font>
      <b/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6411"/>
        <bgColor auto="1"/>
      </patternFill>
    </fill>
    <fill>
      <patternFill patternType="solid">
        <fgColor rgb="FF339966"/>
        <bgColor auto="1"/>
      </patternFill>
    </fill>
    <fill>
      <patternFill patternType="solid">
        <fgColor rgb="FF998A5B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8">
    <xf numFmtId="0" fontId="0" fillId="0" borderId="0"/>
    <xf numFmtId="0" fontId="35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  <xf numFmtId="44" fontId="36" fillId="0" borderId="0" applyFont="0" applyFill="0" applyBorder="0" applyAlignment="0" applyProtection="0"/>
  </cellStyleXfs>
  <cellXfs count="129">
    <xf numFmtId="0" fontId="0" fillId="0" borderId="0" xfId="0"/>
    <xf numFmtId="49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Protection="1">
      <protection locked="0"/>
    </xf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Protection="1">
      <protection locked="0"/>
    </xf>
    <xf numFmtId="49" fontId="0" fillId="0" borderId="0" xfId="0" applyNumberFormat="1" applyAlignment="1">
      <alignment horizontal="right"/>
    </xf>
    <xf numFmtId="0" fontId="1" fillId="0" borderId="0" xfId="0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" fillId="0" borderId="0" xfId="0" applyNumberFormat="1" applyFont="1" applyProtection="1">
      <protection locked="0"/>
    </xf>
    <xf numFmtId="49" fontId="1" fillId="0" borderId="1" xfId="0" applyNumberFormat="1" applyFont="1" applyBorder="1" applyProtection="1">
      <protection locked="0"/>
    </xf>
    <xf numFmtId="0" fontId="6" fillId="0" borderId="0" xfId="0" applyFont="1"/>
    <xf numFmtId="49" fontId="1" fillId="4" borderId="1" xfId="0" quotePrefix="1" applyNumberFormat="1" applyFont="1" applyFill="1" applyBorder="1" applyProtection="1">
      <protection locked="0"/>
    </xf>
    <xf numFmtId="49" fontId="10" fillId="5" borderId="6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16" fillId="2" borderId="0" xfId="0" applyFont="1" applyFill="1" applyAlignment="1">
      <alignment horizontal="left"/>
    </xf>
    <xf numFmtId="0" fontId="17" fillId="2" borderId="0" xfId="0" applyFont="1" applyFill="1" applyAlignment="1">
      <alignment horizontal="left" vertical="center" wrapText="1"/>
    </xf>
    <xf numFmtId="0" fontId="17" fillId="2" borderId="0" xfId="0" applyFont="1" applyFill="1" applyAlignment="1">
      <alignment horizontal="left" vertical="center"/>
    </xf>
    <xf numFmtId="0" fontId="24" fillId="9" borderId="11" xfId="0" applyFont="1" applyFill="1" applyBorder="1" applyAlignment="1">
      <alignment horizontal="justify" vertical="center" wrapText="1"/>
    </xf>
    <xf numFmtId="0" fontId="5" fillId="9" borderId="11" xfId="0" applyFont="1" applyFill="1" applyBorder="1" applyAlignment="1">
      <alignment horizontal="justify" vertical="center" wrapText="1"/>
    </xf>
    <xf numFmtId="0" fontId="25" fillId="9" borderId="11" xfId="0" applyFont="1" applyFill="1" applyBorder="1" applyAlignment="1">
      <alignment horizontal="justify" vertical="center" wrapText="1"/>
    </xf>
    <xf numFmtId="0" fontId="17" fillId="9" borderId="11" xfId="0" applyFont="1" applyFill="1" applyBorder="1" applyAlignment="1">
      <alignment horizontal="justify" vertical="center" wrapText="1"/>
    </xf>
    <xf numFmtId="0" fontId="25" fillId="9" borderId="11" xfId="0" applyFont="1" applyFill="1" applyBorder="1" applyAlignment="1">
      <alignment horizontal="justify" vertical="center"/>
    </xf>
    <xf numFmtId="0" fontId="5" fillId="9" borderId="11" xfId="0" applyFont="1" applyFill="1" applyBorder="1" applyAlignment="1">
      <alignment horizontal="justify" vertical="center"/>
    </xf>
    <xf numFmtId="0" fontId="28" fillId="2" borderId="0" xfId="0" applyFont="1" applyFill="1" applyAlignment="1">
      <alignment horizontal="justify" vertical="center"/>
    </xf>
    <xf numFmtId="0" fontId="16" fillId="2" borderId="0" xfId="0" applyFont="1" applyFill="1"/>
    <xf numFmtId="0" fontId="29" fillId="2" borderId="0" xfId="0" applyFont="1" applyFill="1" applyAlignment="1">
      <alignment horizontal="justify" vertical="center"/>
    </xf>
    <xf numFmtId="0" fontId="30" fillId="9" borderId="11" xfId="0" applyFont="1" applyFill="1" applyBorder="1" applyAlignment="1">
      <alignment horizontal="justify" vertical="center" wrapText="1"/>
    </xf>
    <xf numFmtId="0" fontId="4" fillId="9" borderId="11" xfId="0" applyFont="1" applyFill="1" applyBorder="1" applyAlignment="1">
      <alignment horizontal="justify" vertical="center" wrapText="1"/>
    </xf>
    <xf numFmtId="0" fontId="15" fillId="2" borderId="0" xfId="0" applyFont="1" applyFill="1" applyAlignment="1">
      <alignment horizontal="justify" vertical="center"/>
    </xf>
    <xf numFmtId="0" fontId="31" fillId="9" borderId="11" xfId="0" applyFont="1" applyFill="1" applyBorder="1" applyAlignment="1">
      <alignment horizontal="justify" vertical="center" wrapText="1"/>
    </xf>
    <xf numFmtId="0" fontId="32" fillId="9" borderId="11" xfId="0" applyFont="1" applyFill="1" applyBorder="1" applyAlignment="1">
      <alignment horizontal="justify" vertical="center" wrapText="1"/>
    </xf>
    <xf numFmtId="0" fontId="33" fillId="9" borderId="12" xfId="0" applyFont="1" applyFill="1" applyBorder="1" applyAlignment="1">
      <alignment horizontal="justify" vertical="center" wrapText="1"/>
    </xf>
    <xf numFmtId="0" fontId="34" fillId="9" borderId="11" xfId="0" applyFont="1" applyFill="1" applyBorder="1" applyAlignment="1">
      <alignment horizontal="justify" vertical="center" wrapText="1"/>
    </xf>
    <xf numFmtId="49" fontId="0" fillId="0" borderId="0" xfId="0" applyNumberFormat="1" applyAlignment="1">
      <alignment horizontal="center"/>
    </xf>
    <xf numFmtId="0" fontId="15" fillId="0" borderId="0" xfId="0" applyFont="1"/>
    <xf numFmtId="49" fontId="8" fillId="0" borderId="0" xfId="0" applyNumberFormat="1" applyFont="1" applyAlignment="1">
      <alignment vertical="center"/>
    </xf>
    <xf numFmtId="49" fontId="1" fillId="0" borderId="1" xfId="0" quotePrefix="1" applyNumberFormat="1" applyFont="1" applyBorder="1" applyProtection="1">
      <protection locked="0"/>
    </xf>
    <xf numFmtId="49" fontId="38" fillId="0" borderId="0" xfId="0" applyNumberFormat="1" applyFont="1" applyAlignment="1" applyProtection="1">
      <alignment horizontal="right"/>
      <protection locked="0"/>
    </xf>
    <xf numFmtId="49" fontId="37" fillId="0" borderId="0" xfId="0" applyNumberFormat="1" applyFont="1" applyAlignment="1">
      <alignment horizontal="right"/>
    </xf>
    <xf numFmtId="14" fontId="37" fillId="0" borderId="0" xfId="0" applyNumberFormat="1" applyFont="1" applyAlignment="1">
      <alignment horizontal="left"/>
    </xf>
    <xf numFmtId="0" fontId="37" fillId="0" borderId="0" xfId="0" applyFont="1"/>
    <xf numFmtId="49" fontId="38" fillId="0" borderId="0" xfId="0" applyNumberFormat="1" applyFont="1" applyAlignment="1">
      <alignment vertical="center"/>
    </xf>
    <xf numFmtId="49" fontId="38" fillId="0" borderId="0" xfId="0" applyNumberFormat="1" applyFont="1" applyAlignment="1" applyProtection="1">
      <alignment horizontal="left"/>
      <protection locked="0"/>
    </xf>
    <xf numFmtId="49" fontId="38" fillId="0" borderId="0" xfId="0" applyNumberFormat="1" applyFont="1" applyProtection="1">
      <protection locked="0"/>
    </xf>
    <xf numFmtId="49" fontId="38" fillId="0" borderId="0" xfId="0" applyNumberFormat="1" applyFont="1"/>
    <xf numFmtId="0" fontId="8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49" fontId="41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2" fontId="10" fillId="7" borderId="7" xfId="0" applyNumberFormat="1" applyFont="1" applyFill="1" applyBorder="1" applyAlignment="1">
      <alignment horizontal="center" vertical="center" wrapText="1"/>
    </xf>
    <xf numFmtId="2" fontId="10" fillId="7" borderId="8" xfId="0" applyNumberFormat="1" applyFont="1" applyFill="1" applyBorder="1" applyAlignment="1">
      <alignment horizontal="center" vertical="center" wrapText="1"/>
    </xf>
    <xf numFmtId="2" fontId="10" fillId="7" borderId="9" xfId="0" applyNumberFormat="1" applyFont="1" applyFill="1" applyBorder="1" applyAlignment="1">
      <alignment horizontal="center" vertical="center" wrapText="1"/>
    </xf>
    <xf numFmtId="2" fontId="10" fillId="7" borderId="20" xfId="0" applyNumberFormat="1" applyFont="1" applyFill="1" applyBorder="1" applyAlignment="1">
      <alignment horizontal="center" vertical="center" wrapText="1"/>
    </xf>
    <xf numFmtId="2" fontId="10" fillId="7" borderId="21" xfId="0" applyNumberFormat="1" applyFont="1" applyFill="1" applyBorder="1" applyAlignment="1">
      <alignment horizontal="center" vertical="center" wrapText="1"/>
    </xf>
    <xf numFmtId="2" fontId="10" fillId="7" borderId="22" xfId="0" applyNumberFormat="1" applyFont="1" applyFill="1" applyBorder="1" applyAlignment="1">
      <alignment horizontal="center" vertical="center" wrapText="1"/>
    </xf>
    <xf numFmtId="2" fontId="10" fillId="5" borderId="10" xfId="0" applyNumberFormat="1" applyFont="1" applyFill="1" applyBorder="1" applyAlignment="1">
      <alignment horizontal="center" vertical="center" wrapText="1"/>
    </xf>
    <xf numFmtId="2" fontId="15" fillId="0" borderId="0" xfId="0" applyNumberFormat="1" applyFont="1"/>
    <xf numFmtId="2" fontId="38" fillId="0" borderId="0" xfId="0" applyNumberFormat="1" applyFont="1" applyAlignment="1" applyProtection="1">
      <alignment horizontal="left"/>
      <protection locked="0"/>
    </xf>
    <xf numFmtId="2" fontId="1" fillId="0" borderId="0" xfId="0" applyNumberFormat="1" applyFont="1" applyProtection="1">
      <protection locked="0"/>
    </xf>
    <xf numFmtId="2" fontId="10" fillId="5" borderId="6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49" fontId="0" fillId="2" borderId="0" xfId="0" applyNumberFormat="1" applyFill="1" applyProtection="1">
      <protection locked="0"/>
    </xf>
    <xf numFmtId="49" fontId="1" fillId="2" borderId="0" xfId="0" applyNumberFormat="1" applyFont="1" applyFill="1" applyProtection="1">
      <protection locked="0"/>
    </xf>
    <xf numFmtId="0" fontId="42" fillId="2" borderId="0" xfId="0" applyFont="1" applyFill="1"/>
    <xf numFmtId="0" fontId="43" fillId="2" borderId="0" xfId="0" applyFont="1" applyFill="1"/>
    <xf numFmtId="0" fontId="1" fillId="2" borderId="0" xfId="0" quotePrefix="1" applyFont="1" applyFill="1" applyProtection="1">
      <protection locked="0"/>
    </xf>
    <xf numFmtId="0" fontId="44" fillId="2" borderId="0" xfId="1" applyFont="1" applyFill="1" applyProtection="1">
      <protection locked="0"/>
    </xf>
    <xf numFmtId="0" fontId="1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42" fillId="0" borderId="0" xfId="0" applyFont="1"/>
    <xf numFmtId="0" fontId="45" fillId="11" borderId="0" xfId="0" applyFont="1" applyFill="1" applyAlignment="1">
      <alignment wrapText="1"/>
    </xf>
    <xf numFmtId="0" fontId="45" fillId="11" borderId="0" xfId="0" applyFont="1" applyFill="1" applyAlignment="1">
      <alignment vertical="top" wrapText="1"/>
    </xf>
    <xf numFmtId="0" fontId="45" fillId="11" borderId="23" xfId="0" applyFont="1" applyFill="1" applyBorder="1"/>
    <xf numFmtId="49" fontId="10" fillId="5" borderId="10" xfId="0" applyNumberFormat="1" applyFont="1" applyFill="1" applyBorder="1" applyAlignment="1">
      <alignment horizontal="center" vertical="center" wrapText="1"/>
    </xf>
    <xf numFmtId="44" fontId="0" fillId="0" borderId="0" xfId="2" applyFont="1" applyProtection="1">
      <protection locked="0"/>
    </xf>
    <xf numFmtId="49" fontId="10" fillId="6" borderId="10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 applyProtection="1">
      <alignment horizontal="center" vertical="center"/>
      <protection locked="0"/>
    </xf>
    <xf numFmtId="49" fontId="0" fillId="12" borderId="0" xfId="0" quotePrefix="1" applyNumberFormat="1" applyFill="1" applyProtection="1">
      <protection locked="0"/>
    </xf>
    <xf numFmtId="49" fontId="0" fillId="0" borderId="0" xfId="0" quotePrefix="1" applyNumberFormat="1" applyProtection="1">
      <protection locked="0"/>
    </xf>
    <xf numFmtId="0" fontId="45" fillId="11" borderId="0" xfId="0" applyFont="1" applyFill="1" applyAlignment="1">
      <alignment vertical="top"/>
    </xf>
    <xf numFmtId="0" fontId="44" fillId="2" borderId="0" xfId="1" applyFont="1" applyFill="1" applyBorder="1" applyProtection="1">
      <protection locked="0"/>
    </xf>
    <xf numFmtId="49" fontId="0" fillId="12" borderId="0" xfId="0" applyNumberFormat="1" applyFill="1" applyProtection="1">
      <protection locked="0"/>
    </xf>
    <xf numFmtId="44" fontId="10" fillId="7" borderId="21" xfId="2" applyFont="1" applyFill="1" applyBorder="1" applyAlignment="1">
      <alignment horizontal="center" vertical="center" wrapText="1"/>
    </xf>
    <xf numFmtId="44" fontId="0" fillId="0" borderId="0" xfId="2" applyFont="1" applyBorder="1" applyProtection="1">
      <protection locked="0"/>
    </xf>
    <xf numFmtId="44" fontId="38" fillId="0" borderId="0" xfId="2" applyFont="1" applyFill="1" applyAlignment="1">
      <alignment horizontal="left"/>
    </xf>
    <xf numFmtId="49" fontId="40" fillId="0" borderId="0" xfId="0" applyNumberFormat="1" applyFont="1"/>
    <xf numFmtId="49" fontId="15" fillId="0" borderId="0" xfId="0" applyNumberFormat="1" applyFont="1"/>
    <xf numFmtId="49" fontId="39" fillId="0" borderId="0" xfId="0" applyNumberFormat="1" applyFont="1" applyAlignment="1">
      <alignment horizontal="right"/>
    </xf>
    <xf numFmtId="0" fontId="41" fillId="2" borderId="0" xfId="0" applyFont="1" applyFill="1" applyAlignment="1">
      <alignment wrapText="1"/>
    </xf>
    <xf numFmtId="49" fontId="0" fillId="0" borderId="0" xfId="0" quotePrefix="1" applyNumberFormat="1"/>
    <xf numFmtId="0" fontId="22" fillId="0" borderId="0" xfId="0" applyFont="1" applyAlignment="1">
      <alignment horizontal="left" vertical="center" wrapText="1"/>
    </xf>
    <xf numFmtId="0" fontId="23" fillId="3" borderId="0" xfId="0" applyFont="1" applyFill="1" applyAlignment="1">
      <alignment horizontal="left" vertical="center" wrapText="1"/>
    </xf>
    <xf numFmtId="0" fontId="23" fillId="3" borderId="0" xfId="0" applyFont="1" applyFill="1" applyAlignment="1">
      <alignment horizontal="left" vertical="center"/>
    </xf>
    <xf numFmtId="0" fontId="23" fillId="10" borderId="0" xfId="0" applyFont="1" applyFill="1" applyAlignment="1">
      <alignment horizontal="left" vertical="center" wrapText="1"/>
    </xf>
    <xf numFmtId="0" fontId="23" fillId="10" borderId="0" xfId="0" applyFont="1" applyFill="1" applyAlignment="1">
      <alignment horizontal="left" vertical="center"/>
    </xf>
    <xf numFmtId="0" fontId="27" fillId="9" borderId="11" xfId="0" applyFont="1" applyFill="1" applyBorder="1" applyAlignment="1">
      <alignment horizontal="left" vertical="center"/>
    </xf>
    <xf numFmtId="0" fontId="27" fillId="9" borderId="12" xfId="0" applyFont="1" applyFill="1" applyBorder="1" applyAlignment="1">
      <alignment horizontal="left" vertical="center"/>
    </xf>
    <xf numFmtId="0" fontId="27" fillId="9" borderId="13" xfId="0" applyFont="1" applyFill="1" applyBorder="1" applyAlignment="1">
      <alignment horizontal="left" vertical="center"/>
    </xf>
    <xf numFmtId="0" fontId="32" fillId="9" borderId="14" xfId="0" applyFont="1" applyFill="1" applyBorder="1" applyAlignment="1">
      <alignment horizontal="center" vertical="center" wrapText="1"/>
    </xf>
    <xf numFmtId="0" fontId="32" fillId="9" borderId="15" xfId="0" applyFont="1" applyFill="1" applyBorder="1" applyAlignment="1">
      <alignment horizontal="center" vertical="center" wrapText="1"/>
    </xf>
    <xf numFmtId="0" fontId="32" fillId="9" borderId="16" xfId="0" applyFont="1" applyFill="1" applyBorder="1" applyAlignment="1">
      <alignment horizontal="center" vertical="center" wrapText="1"/>
    </xf>
    <xf numFmtId="0" fontId="5" fillId="9" borderId="17" xfId="0" applyFont="1" applyFill="1" applyBorder="1" applyAlignment="1">
      <alignment horizontal="center" vertical="center" wrapText="1"/>
    </xf>
    <xf numFmtId="0" fontId="5" fillId="9" borderId="18" xfId="0" applyFont="1" applyFill="1" applyBorder="1" applyAlignment="1">
      <alignment horizontal="center" vertical="center" wrapText="1"/>
    </xf>
    <xf numFmtId="0" fontId="5" fillId="9" borderId="19" xfId="0" applyFont="1" applyFill="1" applyBorder="1" applyAlignment="1">
      <alignment horizontal="center" vertical="center" wrapText="1"/>
    </xf>
    <xf numFmtId="0" fontId="16" fillId="2" borderId="0" xfId="0" applyFont="1" applyFill="1" applyAlignment="1">
      <alignment horizontal="left"/>
    </xf>
    <xf numFmtId="0" fontId="17" fillId="2" borderId="0" xfId="0" applyFont="1" applyFill="1" applyAlignment="1">
      <alignment horizontal="left" vertical="center" wrapText="1"/>
    </xf>
    <xf numFmtId="0" fontId="18" fillId="3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left" vertical="center"/>
    </xf>
    <xf numFmtId="0" fontId="20" fillId="3" borderId="0" xfId="0" applyFont="1" applyFill="1" applyAlignment="1">
      <alignment horizontal="center" vertical="center" wrapText="1"/>
    </xf>
    <xf numFmtId="0" fontId="20" fillId="3" borderId="0" xfId="0" applyFont="1" applyFill="1" applyAlignment="1">
      <alignment horizontal="center" vertical="center"/>
    </xf>
    <xf numFmtId="0" fontId="17" fillId="8" borderId="0" xfId="0" applyFont="1" applyFill="1" applyAlignment="1">
      <alignment horizontal="left" vertical="center" wrapText="1"/>
    </xf>
    <xf numFmtId="49" fontId="10" fillId="5" borderId="6" xfId="0" applyNumberFormat="1" applyFont="1" applyFill="1" applyBorder="1" applyAlignment="1">
      <alignment horizontal="center" vertical="center" wrapText="1"/>
    </xf>
    <xf numFmtId="49" fontId="10" fillId="5" borderId="10" xfId="0" applyNumberFormat="1" applyFont="1" applyFill="1" applyBorder="1" applyAlignment="1">
      <alignment horizontal="center" vertical="center" wrapText="1"/>
    </xf>
    <xf numFmtId="49" fontId="10" fillId="5" borderId="25" xfId="0" applyNumberFormat="1" applyFont="1" applyFill="1" applyBorder="1" applyAlignment="1">
      <alignment horizontal="center" vertical="center" wrapText="1"/>
    </xf>
    <xf numFmtId="2" fontId="10" fillId="7" borderId="8" xfId="0" applyNumberFormat="1" applyFont="1" applyFill="1" applyBorder="1" applyAlignment="1">
      <alignment horizontal="center" vertical="center" wrapText="1"/>
    </xf>
    <xf numFmtId="2" fontId="10" fillId="5" borderId="7" xfId="0" applyNumberFormat="1" applyFont="1" applyFill="1" applyBorder="1" applyAlignment="1">
      <alignment horizontal="center" vertical="center" wrapText="1"/>
    </xf>
    <xf numFmtId="2" fontId="10" fillId="5" borderId="8" xfId="0" applyNumberFormat="1" applyFont="1" applyFill="1" applyBorder="1" applyAlignment="1">
      <alignment horizontal="center" vertical="center" wrapText="1"/>
    </xf>
    <xf numFmtId="2" fontId="10" fillId="5" borderId="9" xfId="0" applyNumberFormat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" fillId="0" borderId="0" xfId="0" applyFont="1" applyAlignment="1">
      <alignment horizontal="right"/>
    </xf>
  </cellXfs>
  <cellStyles count="8">
    <cellStyle name="Hiperlink" xfId="1" builtinId="8"/>
    <cellStyle name="Moeda" xfId="2" builtinId="4"/>
    <cellStyle name="Moeda 2" xfId="3" xr:uid="{00000000-0005-0000-0000-000002000000}"/>
    <cellStyle name="Moeda 2 2" xfId="6" xr:uid="{00000000-0005-0000-0000-000003000000}"/>
    <cellStyle name="Moeda 3" xfId="4" xr:uid="{00000000-0005-0000-0000-000004000000}"/>
    <cellStyle name="Moeda 3 2" xfId="7" xr:uid="{00000000-0005-0000-0000-000005000000}"/>
    <cellStyle name="Moeda 4" xfId="5" xr:uid="{00000000-0005-0000-0000-000006000000}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A8E1"/>
      <color rgb="FFE2922F"/>
      <color rgb="FFD60087"/>
      <color rgb="FFF1F5E7"/>
      <color rgb="FF3333FF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14623</xdr:rowOff>
    </xdr:from>
    <xdr:to>
      <xdr:col>1</xdr:col>
      <xdr:colOff>730313</xdr:colOff>
      <xdr:row>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twoCellAnchor>
  <xdr:oneCellAnchor>
    <xdr:from>
      <xdr:col>0</xdr:col>
      <xdr:colOff>247650</xdr:colOff>
      <xdr:row>0</xdr:row>
      <xdr:rowOff>14623</xdr:rowOff>
    </xdr:from>
    <xdr:ext cx="739838" cy="92835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133351</xdr:colOff>
      <xdr:row>3</xdr:row>
      <xdr:rowOff>156633</xdr:rowOff>
    </xdr:from>
    <xdr:to>
      <xdr:col>3</xdr:col>
      <xdr:colOff>1033351</xdr:colOff>
      <xdr:row>3</xdr:row>
      <xdr:rowOff>1056633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8476" y="749300"/>
          <a:ext cx="900000" cy="9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146051</xdr:colOff>
      <xdr:row>3</xdr:row>
      <xdr:rowOff>166158</xdr:rowOff>
    </xdr:from>
    <xdr:to>
      <xdr:col>4</xdr:col>
      <xdr:colOff>1046051</xdr:colOff>
      <xdr:row>3</xdr:row>
      <xdr:rowOff>1066158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5343" y="758825"/>
          <a:ext cx="900000" cy="900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111126</xdr:colOff>
      <xdr:row>3</xdr:row>
      <xdr:rowOff>170391</xdr:rowOff>
    </xdr:from>
    <xdr:to>
      <xdr:col>5</xdr:col>
      <xdr:colOff>1011126</xdr:colOff>
      <xdr:row>3</xdr:row>
      <xdr:rowOff>1070391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0459" y="763058"/>
          <a:ext cx="900000" cy="900000"/>
        </a:xfrm>
        <a:prstGeom prst="rect">
          <a:avLst/>
        </a:prstGeom>
      </xdr:spPr>
    </xdr:pic>
    <xdr:clientData/>
  </xdr:twoCellAnchor>
  <xdr:twoCellAnchor editAs="absolute">
    <xdr:from>
      <xdr:col>6</xdr:col>
      <xdr:colOff>133350</xdr:colOff>
      <xdr:row>3</xdr:row>
      <xdr:rowOff>175683</xdr:rowOff>
    </xdr:from>
    <xdr:to>
      <xdr:col>6</xdr:col>
      <xdr:colOff>1033350</xdr:colOff>
      <xdr:row>3</xdr:row>
      <xdr:rowOff>1075683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2725" y="768350"/>
          <a:ext cx="900000" cy="900000"/>
        </a:xfrm>
        <a:prstGeom prst="rect">
          <a:avLst/>
        </a:prstGeom>
      </xdr:spPr>
    </xdr:pic>
    <xdr:clientData/>
  </xdr:twoCellAnchor>
  <xdr:twoCellAnchor>
    <xdr:from>
      <xdr:col>7</xdr:col>
      <xdr:colOff>151766</xdr:colOff>
      <xdr:row>2</xdr:row>
      <xdr:rowOff>58632</xdr:rowOff>
    </xdr:from>
    <xdr:to>
      <xdr:col>7</xdr:col>
      <xdr:colOff>1051766</xdr:colOff>
      <xdr:row>3</xdr:row>
      <xdr:rowOff>1088172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7952741" y="449157"/>
          <a:ext cx="900000" cy="1210515"/>
          <a:chOff x="7969886" y="434340"/>
          <a:chExt cx="900000" cy="1212420"/>
        </a:xfrm>
      </xdr:grpSpPr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69886" y="746760"/>
            <a:ext cx="900000" cy="900000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 txBox="1"/>
        </xdr:nvSpPr>
        <xdr:spPr>
          <a:xfrm>
            <a:off x="8084820" y="434340"/>
            <a:ext cx="65088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600" b="1">
                <a:solidFill>
                  <a:srgbClr val="D60087"/>
                </a:solidFill>
              </a:rPr>
              <a:t>Cesta</a:t>
            </a:r>
          </a:p>
        </xdr:txBody>
      </xdr:sp>
    </xdr:grpSp>
    <xdr:clientData/>
  </xdr:twoCellAnchor>
  <xdr:twoCellAnchor>
    <xdr:from>
      <xdr:col>9</xdr:col>
      <xdr:colOff>152400</xdr:colOff>
      <xdr:row>2</xdr:row>
      <xdr:rowOff>47412</xdr:rowOff>
    </xdr:from>
    <xdr:to>
      <xdr:col>9</xdr:col>
      <xdr:colOff>1052400</xdr:colOff>
      <xdr:row>3</xdr:row>
      <xdr:rowOff>1083732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pSpPr/>
      </xdr:nvGrpSpPr>
      <xdr:grpSpPr>
        <a:xfrm>
          <a:off x="10372725" y="437937"/>
          <a:ext cx="900000" cy="1217295"/>
          <a:chOff x="10355580" y="449580"/>
          <a:chExt cx="900000" cy="1235280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55580" y="784860"/>
            <a:ext cx="900000" cy="900000"/>
          </a:xfrm>
          <a:prstGeom prst="rect">
            <a:avLst/>
          </a:prstGeom>
        </xdr:spPr>
      </xdr:pic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 txBox="1"/>
        </xdr:nvSpPr>
        <xdr:spPr>
          <a:xfrm>
            <a:off x="10415906" y="449580"/>
            <a:ext cx="71691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>
                <a:solidFill>
                  <a:srgbClr val="D60087"/>
                </a:solidFill>
              </a:rPr>
              <a:t>Auxílio</a:t>
            </a:r>
          </a:p>
        </xdr:txBody>
      </xdr:sp>
    </xdr:grpSp>
    <xdr:clientData/>
  </xdr:twoCellAnchor>
  <xdr:twoCellAnchor>
    <xdr:from>
      <xdr:col>10</xdr:col>
      <xdr:colOff>137160</xdr:colOff>
      <xdr:row>2</xdr:row>
      <xdr:rowOff>55032</xdr:rowOff>
    </xdr:from>
    <xdr:to>
      <xdr:col>10</xdr:col>
      <xdr:colOff>1037160</xdr:colOff>
      <xdr:row>3</xdr:row>
      <xdr:rowOff>1093257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11567160" y="445557"/>
          <a:ext cx="900000" cy="1219200"/>
          <a:chOff x="11544300" y="449580"/>
          <a:chExt cx="900000" cy="1235280"/>
        </a:xfrm>
      </xdr:grpSpPr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544300" y="784860"/>
            <a:ext cx="900000" cy="900000"/>
          </a:xfrm>
          <a:prstGeom prst="rect">
            <a:avLst/>
          </a:prstGeom>
        </xdr:spPr>
      </xdr:pic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 txBox="1"/>
        </xdr:nvSpPr>
        <xdr:spPr>
          <a:xfrm>
            <a:off x="11612880" y="449580"/>
            <a:ext cx="71691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>
                <a:solidFill>
                  <a:srgbClr val="E2922F"/>
                </a:solidFill>
              </a:rPr>
              <a:t>Auxílio</a:t>
            </a:r>
          </a:p>
        </xdr:txBody>
      </xdr:sp>
    </xdr:grpSp>
    <xdr:clientData/>
  </xdr:twoCellAnchor>
  <xdr:twoCellAnchor>
    <xdr:from>
      <xdr:col>11</xdr:col>
      <xdr:colOff>133350</xdr:colOff>
      <xdr:row>3</xdr:row>
      <xdr:rowOff>199389</xdr:rowOff>
    </xdr:from>
    <xdr:to>
      <xdr:col>11</xdr:col>
      <xdr:colOff>1033350</xdr:colOff>
      <xdr:row>3</xdr:row>
      <xdr:rowOff>1099389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2933" y="792056"/>
          <a:ext cx="900000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12</xdr:row>
          <xdr:rowOff>22860</xdr:rowOff>
        </xdr:from>
        <xdr:to>
          <xdr:col>3</xdr:col>
          <xdr:colOff>137160</xdr:colOff>
          <xdr:row>13</xdr:row>
          <xdr:rowOff>160020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 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114301</xdr:colOff>
      <xdr:row>3</xdr:row>
      <xdr:rowOff>190774</xdr:rowOff>
    </xdr:from>
    <xdr:to>
      <xdr:col>12</xdr:col>
      <xdr:colOff>1014301</xdr:colOff>
      <xdr:row>3</xdr:row>
      <xdr:rowOff>1090774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3926" y="783441"/>
          <a:ext cx="900000" cy="900000"/>
        </a:xfrm>
        <a:prstGeom prst="rect">
          <a:avLst/>
        </a:prstGeom>
      </xdr:spPr>
    </xdr:pic>
    <xdr:clientData/>
  </xdr:twoCellAnchor>
  <xdr:twoCellAnchor editAs="oneCell">
    <xdr:from>
      <xdr:col>8</xdr:col>
      <xdr:colOff>174833</xdr:colOff>
      <xdr:row>3</xdr:row>
      <xdr:rowOff>166158</xdr:rowOff>
    </xdr:from>
    <xdr:to>
      <xdr:col>8</xdr:col>
      <xdr:colOff>1074833</xdr:colOff>
      <xdr:row>3</xdr:row>
      <xdr:rowOff>1066158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64291" y="758825"/>
          <a:ext cx="900000" cy="90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161928</xdr:colOff>
      <xdr:row>3</xdr:row>
      <xdr:rowOff>246593</xdr:rowOff>
    </xdr:from>
    <xdr:to>
      <xdr:col>13</xdr:col>
      <xdr:colOff>978863</xdr:colOff>
      <xdr:row>3</xdr:row>
      <xdr:rowOff>1063528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5828" y="843493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14</xdr:col>
      <xdr:colOff>171450</xdr:colOff>
      <xdr:row>3</xdr:row>
      <xdr:rowOff>241299</xdr:rowOff>
    </xdr:from>
    <xdr:to>
      <xdr:col>14</xdr:col>
      <xdr:colOff>988385</xdr:colOff>
      <xdr:row>3</xdr:row>
      <xdr:rowOff>1058234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19992" y="833966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15</xdr:col>
      <xdr:colOff>161925</xdr:colOff>
      <xdr:row>3</xdr:row>
      <xdr:rowOff>246591</xdr:rowOff>
    </xdr:from>
    <xdr:to>
      <xdr:col>15</xdr:col>
      <xdr:colOff>984956</xdr:colOff>
      <xdr:row>3</xdr:row>
      <xdr:rowOff>1063526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9925" y="839258"/>
          <a:ext cx="823031" cy="816935"/>
        </a:xfrm>
        <a:prstGeom prst="rect">
          <a:avLst/>
        </a:prstGeom>
      </xdr:spPr>
    </xdr:pic>
    <xdr:clientData/>
  </xdr:twoCellAnchor>
  <xdr:twoCellAnchor editAs="oneCell">
    <xdr:from>
      <xdr:col>16</xdr:col>
      <xdr:colOff>180975</xdr:colOff>
      <xdr:row>3</xdr:row>
      <xdr:rowOff>251883</xdr:rowOff>
    </xdr:from>
    <xdr:to>
      <xdr:col>16</xdr:col>
      <xdr:colOff>997910</xdr:colOff>
      <xdr:row>3</xdr:row>
      <xdr:rowOff>1068818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8433" y="844550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17</xdr:col>
      <xdr:colOff>200025</xdr:colOff>
      <xdr:row>3</xdr:row>
      <xdr:rowOff>229658</xdr:rowOff>
    </xdr:from>
    <xdr:to>
      <xdr:col>17</xdr:col>
      <xdr:colOff>1016960</xdr:colOff>
      <xdr:row>3</xdr:row>
      <xdr:rowOff>1046593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2925" y="826558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18</xdr:col>
      <xdr:colOff>228600</xdr:colOff>
      <xdr:row>3</xdr:row>
      <xdr:rowOff>220132</xdr:rowOff>
    </xdr:from>
    <xdr:to>
      <xdr:col>18</xdr:col>
      <xdr:colOff>1045535</xdr:colOff>
      <xdr:row>3</xdr:row>
      <xdr:rowOff>1037067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96250" y="817032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19</xdr:col>
      <xdr:colOff>179917</xdr:colOff>
      <xdr:row>3</xdr:row>
      <xdr:rowOff>226484</xdr:rowOff>
    </xdr:from>
    <xdr:to>
      <xdr:col>19</xdr:col>
      <xdr:colOff>1002948</xdr:colOff>
      <xdr:row>3</xdr:row>
      <xdr:rowOff>1043419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22317" y="823384"/>
          <a:ext cx="823031" cy="8169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suportebeneficios@grupofedcorp.com.br" TargetMode="External"/><Relationship Id="rId13" Type="http://schemas.openxmlformats.org/officeDocument/2006/relationships/hyperlink" Target="mailto:suportebeneficios@grupofedcorp.com.br" TargetMode="External"/><Relationship Id="rId18" Type="http://schemas.openxmlformats.org/officeDocument/2006/relationships/hyperlink" Target="mailto:suportebeneficios@grupofedcorp.com.br" TargetMode="External"/><Relationship Id="rId26" Type="http://schemas.openxmlformats.org/officeDocument/2006/relationships/hyperlink" Target="mailto:suportebeneficios@grupofedcorp.com.br" TargetMode="External"/><Relationship Id="rId3" Type="http://schemas.openxmlformats.org/officeDocument/2006/relationships/hyperlink" Target="mailto:suportebeneficios@grupofedcorp.com.br" TargetMode="External"/><Relationship Id="rId21" Type="http://schemas.openxmlformats.org/officeDocument/2006/relationships/hyperlink" Target="mailto:suportebeneficios@grupofedcorp.com.br" TargetMode="External"/><Relationship Id="rId7" Type="http://schemas.openxmlformats.org/officeDocument/2006/relationships/hyperlink" Target="mailto:suportebeneficios@grupofedcorp.com.br" TargetMode="External"/><Relationship Id="rId12" Type="http://schemas.openxmlformats.org/officeDocument/2006/relationships/hyperlink" Target="mailto:suportebeneficios@grupofedcorp.com.br" TargetMode="External"/><Relationship Id="rId17" Type="http://schemas.openxmlformats.org/officeDocument/2006/relationships/hyperlink" Target="mailto:suportebeneficios@grupofedcorp.com.br" TargetMode="External"/><Relationship Id="rId25" Type="http://schemas.openxmlformats.org/officeDocument/2006/relationships/hyperlink" Target="mailto:suportebeneficios@grupofedcorp.com.br" TargetMode="External"/><Relationship Id="rId2" Type="http://schemas.openxmlformats.org/officeDocument/2006/relationships/hyperlink" Target="mailto:suportebeneficios@grupofedcorp.com.br" TargetMode="External"/><Relationship Id="rId16" Type="http://schemas.openxmlformats.org/officeDocument/2006/relationships/hyperlink" Target="mailto:suportebeneficios@grupofedcorp.com.br" TargetMode="External"/><Relationship Id="rId20" Type="http://schemas.openxmlformats.org/officeDocument/2006/relationships/hyperlink" Target="mailto:suportebeneficios@grupofedcorp.com.br" TargetMode="External"/><Relationship Id="rId1" Type="http://schemas.openxmlformats.org/officeDocument/2006/relationships/hyperlink" Target="mailto:suportebeneficios@grupofedcorp.com.br" TargetMode="External"/><Relationship Id="rId6" Type="http://schemas.openxmlformats.org/officeDocument/2006/relationships/hyperlink" Target="mailto:suportebeneficios@grupofedcorp.com.br" TargetMode="External"/><Relationship Id="rId11" Type="http://schemas.openxmlformats.org/officeDocument/2006/relationships/hyperlink" Target="mailto:suportebeneficios@grupofedcorp.com.br" TargetMode="External"/><Relationship Id="rId24" Type="http://schemas.openxmlformats.org/officeDocument/2006/relationships/hyperlink" Target="mailto:suportebeneficios@grupofedcorp.com.br" TargetMode="External"/><Relationship Id="rId5" Type="http://schemas.openxmlformats.org/officeDocument/2006/relationships/hyperlink" Target="mailto:suportebeneficios@grupofedcorp.com.br" TargetMode="External"/><Relationship Id="rId15" Type="http://schemas.openxmlformats.org/officeDocument/2006/relationships/hyperlink" Target="mailto:suportebeneficios@grupofedcorp.com.br" TargetMode="External"/><Relationship Id="rId23" Type="http://schemas.openxmlformats.org/officeDocument/2006/relationships/hyperlink" Target="mailto:suportebeneficios@grupofedcorp.com.br" TargetMode="External"/><Relationship Id="rId10" Type="http://schemas.openxmlformats.org/officeDocument/2006/relationships/hyperlink" Target="mailto:suportebeneficios@grupofedcorp.com.br" TargetMode="External"/><Relationship Id="rId19" Type="http://schemas.openxmlformats.org/officeDocument/2006/relationships/hyperlink" Target="mailto:suportebeneficios@grupofedcorp.com.br" TargetMode="External"/><Relationship Id="rId4" Type="http://schemas.openxmlformats.org/officeDocument/2006/relationships/hyperlink" Target="mailto:suportebeneficios@grupofedcorp.com.br" TargetMode="External"/><Relationship Id="rId9" Type="http://schemas.openxmlformats.org/officeDocument/2006/relationships/hyperlink" Target="mailto:suportebeneficios@grupofedcorp.com.br" TargetMode="External"/><Relationship Id="rId14" Type="http://schemas.openxmlformats.org/officeDocument/2006/relationships/hyperlink" Target="mailto:suportebeneficios@grupofedcorp.com.br" TargetMode="External"/><Relationship Id="rId22" Type="http://schemas.openxmlformats.org/officeDocument/2006/relationships/hyperlink" Target="mailto:suportebeneficios@grupofedcorp.com.br" TargetMode="External"/><Relationship Id="rId27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8"/>
  <dimension ref="B1:C105"/>
  <sheetViews>
    <sheetView showGridLines="0" workbookViewId="0">
      <selection activeCell="B1" sqref="B1:C1"/>
    </sheetView>
  </sheetViews>
  <sheetFormatPr defaultRowHeight="25.5" customHeight="1"/>
  <cols>
    <col min="1" max="1" width="3.88671875" style="20" customWidth="1"/>
    <col min="2" max="2" width="37.5546875" style="20" customWidth="1"/>
    <col min="3" max="3" width="117.88671875" style="20" customWidth="1"/>
    <col min="4" max="256" width="9.109375" style="20"/>
    <col min="257" max="257" width="3.88671875" style="20" customWidth="1"/>
    <col min="258" max="258" width="35.6640625" style="20" customWidth="1"/>
    <col min="259" max="259" width="117.88671875" style="20" customWidth="1"/>
    <col min="260" max="512" width="9.109375" style="20"/>
    <col min="513" max="513" width="3.88671875" style="20" customWidth="1"/>
    <col min="514" max="514" width="35.6640625" style="20" customWidth="1"/>
    <col min="515" max="515" width="117.88671875" style="20" customWidth="1"/>
    <col min="516" max="768" width="9.109375" style="20"/>
    <col min="769" max="769" width="3.88671875" style="20" customWidth="1"/>
    <col min="770" max="770" width="35.6640625" style="20" customWidth="1"/>
    <col min="771" max="771" width="117.88671875" style="20" customWidth="1"/>
    <col min="772" max="1024" width="9.109375" style="20"/>
    <col min="1025" max="1025" width="3.88671875" style="20" customWidth="1"/>
    <col min="1026" max="1026" width="35.6640625" style="20" customWidth="1"/>
    <col min="1027" max="1027" width="117.88671875" style="20" customWidth="1"/>
    <col min="1028" max="1280" width="9.109375" style="20"/>
    <col min="1281" max="1281" width="3.88671875" style="20" customWidth="1"/>
    <col min="1282" max="1282" width="35.6640625" style="20" customWidth="1"/>
    <col min="1283" max="1283" width="117.88671875" style="20" customWidth="1"/>
    <col min="1284" max="1536" width="9.109375" style="20"/>
    <col min="1537" max="1537" width="3.88671875" style="20" customWidth="1"/>
    <col min="1538" max="1538" width="35.6640625" style="20" customWidth="1"/>
    <col min="1539" max="1539" width="117.88671875" style="20" customWidth="1"/>
    <col min="1540" max="1792" width="9.109375" style="20"/>
    <col min="1793" max="1793" width="3.88671875" style="20" customWidth="1"/>
    <col min="1794" max="1794" width="35.6640625" style="20" customWidth="1"/>
    <col min="1795" max="1795" width="117.88671875" style="20" customWidth="1"/>
    <col min="1796" max="2048" width="9.109375" style="20"/>
    <col min="2049" max="2049" width="3.88671875" style="20" customWidth="1"/>
    <col min="2050" max="2050" width="35.6640625" style="20" customWidth="1"/>
    <col min="2051" max="2051" width="117.88671875" style="20" customWidth="1"/>
    <col min="2052" max="2304" width="9.109375" style="20"/>
    <col min="2305" max="2305" width="3.88671875" style="20" customWidth="1"/>
    <col min="2306" max="2306" width="35.6640625" style="20" customWidth="1"/>
    <col min="2307" max="2307" width="117.88671875" style="20" customWidth="1"/>
    <col min="2308" max="2560" width="9.109375" style="20"/>
    <col min="2561" max="2561" width="3.88671875" style="20" customWidth="1"/>
    <col min="2562" max="2562" width="35.6640625" style="20" customWidth="1"/>
    <col min="2563" max="2563" width="117.88671875" style="20" customWidth="1"/>
    <col min="2564" max="2816" width="9.109375" style="20"/>
    <col min="2817" max="2817" width="3.88671875" style="20" customWidth="1"/>
    <col min="2818" max="2818" width="35.6640625" style="20" customWidth="1"/>
    <col min="2819" max="2819" width="117.88671875" style="20" customWidth="1"/>
    <col min="2820" max="3072" width="9.109375" style="20"/>
    <col min="3073" max="3073" width="3.88671875" style="20" customWidth="1"/>
    <col min="3074" max="3074" width="35.6640625" style="20" customWidth="1"/>
    <col min="3075" max="3075" width="117.88671875" style="20" customWidth="1"/>
    <col min="3076" max="3328" width="9.109375" style="20"/>
    <col min="3329" max="3329" width="3.88671875" style="20" customWidth="1"/>
    <col min="3330" max="3330" width="35.6640625" style="20" customWidth="1"/>
    <col min="3331" max="3331" width="117.88671875" style="20" customWidth="1"/>
    <col min="3332" max="3584" width="9.109375" style="20"/>
    <col min="3585" max="3585" width="3.88671875" style="20" customWidth="1"/>
    <col min="3586" max="3586" width="35.6640625" style="20" customWidth="1"/>
    <col min="3587" max="3587" width="117.88671875" style="20" customWidth="1"/>
    <col min="3588" max="3840" width="9.109375" style="20"/>
    <col min="3841" max="3841" width="3.88671875" style="20" customWidth="1"/>
    <col min="3842" max="3842" width="35.6640625" style="20" customWidth="1"/>
    <col min="3843" max="3843" width="117.88671875" style="20" customWidth="1"/>
    <col min="3844" max="4096" width="9.109375" style="20"/>
    <col min="4097" max="4097" width="3.88671875" style="20" customWidth="1"/>
    <col min="4098" max="4098" width="35.6640625" style="20" customWidth="1"/>
    <col min="4099" max="4099" width="117.88671875" style="20" customWidth="1"/>
    <col min="4100" max="4352" width="9.109375" style="20"/>
    <col min="4353" max="4353" width="3.88671875" style="20" customWidth="1"/>
    <col min="4354" max="4354" width="35.6640625" style="20" customWidth="1"/>
    <col min="4355" max="4355" width="117.88671875" style="20" customWidth="1"/>
    <col min="4356" max="4608" width="9.109375" style="20"/>
    <col min="4609" max="4609" width="3.88671875" style="20" customWidth="1"/>
    <col min="4610" max="4610" width="35.6640625" style="20" customWidth="1"/>
    <col min="4611" max="4611" width="117.88671875" style="20" customWidth="1"/>
    <col min="4612" max="4864" width="9.109375" style="20"/>
    <col min="4865" max="4865" width="3.88671875" style="20" customWidth="1"/>
    <col min="4866" max="4866" width="35.6640625" style="20" customWidth="1"/>
    <col min="4867" max="4867" width="117.88671875" style="20" customWidth="1"/>
    <col min="4868" max="5120" width="9.109375" style="20"/>
    <col min="5121" max="5121" width="3.88671875" style="20" customWidth="1"/>
    <col min="5122" max="5122" width="35.6640625" style="20" customWidth="1"/>
    <col min="5123" max="5123" width="117.88671875" style="20" customWidth="1"/>
    <col min="5124" max="5376" width="9.109375" style="20"/>
    <col min="5377" max="5377" width="3.88671875" style="20" customWidth="1"/>
    <col min="5378" max="5378" width="35.6640625" style="20" customWidth="1"/>
    <col min="5379" max="5379" width="117.88671875" style="20" customWidth="1"/>
    <col min="5380" max="5632" width="9.109375" style="20"/>
    <col min="5633" max="5633" width="3.88671875" style="20" customWidth="1"/>
    <col min="5634" max="5634" width="35.6640625" style="20" customWidth="1"/>
    <col min="5635" max="5635" width="117.88671875" style="20" customWidth="1"/>
    <col min="5636" max="5888" width="9.109375" style="20"/>
    <col min="5889" max="5889" width="3.88671875" style="20" customWidth="1"/>
    <col min="5890" max="5890" width="35.6640625" style="20" customWidth="1"/>
    <col min="5891" max="5891" width="117.88671875" style="20" customWidth="1"/>
    <col min="5892" max="6144" width="9.109375" style="20"/>
    <col min="6145" max="6145" width="3.88671875" style="20" customWidth="1"/>
    <col min="6146" max="6146" width="35.6640625" style="20" customWidth="1"/>
    <col min="6147" max="6147" width="117.88671875" style="20" customWidth="1"/>
    <col min="6148" max="6400" width="9.109375" style="20"/>
    <col min="6401" max="6401" width="3.88671875" style="20" customWidth="1"/>
    <col min="6402" max="6402" width="35.6640625" style="20" customWidth="1"/>
    <col min="6403" max="6403" width="117.88671875" style="20" customWidth="1"/>
    <col min="6404" max="6656" width="9.109375" style="20"/>
    <col min="6657" max="6657" width="3.88671875" style="20" customWidth="1"/>
    <col min="6658" max="6658" width="35.6640625" style="20" customWidth="1"/>
    <col min="6659" max="6659" width="117.88671875" style="20" customWidth="1"/>
    <col min="6660" max="6912" width="9.109375" style="20"/>
    <col min="6913" max="6913" width="3.88671875" style="20" customWidth="1"/>
    <col min="6914" max="6914" width="35.6640625" style="20" customWidth="1"/>
    <col min="6915" max="6915" width="117.88671875" style="20" customWidth="1"/>
    <col min="6916" max="7168" width="9.109375" style="20"/>
    <col min="7169" max="7169" width="3.88671875" style="20" customWidth="1"/>
    <col min="7170" max="7170" width="35.6640625" style="20" customWidth="1"/>
    <col min="7171" max="7171" width="117.88671875" style="20" customWidth="1"/>
    <col min="7172" max="7424" width="9.109375" style="20"/>
    <col min="7425" max="7425" width="3.88671875" style="20" customWidth="1"/>
    <col min="7426" max="7426" width="35.6640625" style="20" customWidth="1"/>
    <col min="7427" max="7427" width="117.88671875" style="20" customWidth="1"/>
    <col min="7428" max="7680" width="9.109375" style="20"/>
    <col min="7681" max="7681" width="3.88671875" style="20" customWidth="1"/>
    <col min="7682" max="7682" width="35.6640625" style="20" customWidth="1"/>
    <col min="7683" max="7683" width="117.88671875" style="20" customWidth="1"/>
    <col min="7684" max="7936" width="9.109375" style="20"/>
    <col min="7937" max="7937" width="3.88671875" style="20" customWidth="1"/>
    <col min="7938" max="7938" width="35.6640625" style="20" customWidth="1"/>
    <col min="7939" max="7939" width="117.88671875" style="20" customWidth="1"/>
    <col min="7940" max="8192" width="9.109375" style="20"/>
    <col min="8193" max="8193" width="3.88671875" style="20" customWidth="1"/>
    <col min="8194" max="8194" width="35.6640625" style="20" customWidth="1"/>
    <col min="8195" max="8195" width="117.88671875" style="20" customWidth="1"/>
    <col min="8196" max="8448" width="9.109375" style="20"/>
    <col min="8449" max="8449" width="3.88671875" style="20" customWidth="1"/>
    <col min="8450" max="8450" width="35.6640625" style="20" customWidth="1"/>
    <col min="8451" max="8451" width="117.88671875" style="20" customWidth="1"/>
    <col min="8452" max="8704" width="9.109375" style="20"/>
    <col min="8705" max="8705" width="3.88671875" style="20" customWidth="1"/>
    <col min="8706" max="8706" width="35.6640625" style="20" customWidth="1"/>
    <col min="8707" max="8707" width="117.88671875" style="20" customWidth="1"/>
    <col min="8708" max="8960" width="9.109375" style="20"/>
    <col min="8961" max="8961" width="3.88671875" style="20" customWidth="1"/>
    <col min="8962" max="8962" width="35.6640625" style="20" customWidth="1"/>
    <col min="8963" max="8963" width="117.88671875" style="20" customWidth="1"/>
    <col min="8964" max="9216" width="9.109375" style="20"/>
    <col min="9217" max="9217" width="3.88671875" style="20" customWidth="1"/>
    <col min="9218" max="9218" width="35.6640625" style="20" customWidth="1"/>
    <col min="9219" max="9219" width="117.88671875" style="20" customWidth="1"/>
    <col min="9220" max="9472" width="9.109375" style="20"/>
    <col min="9473" max="9473" width="3.88671875" style="20" customWidth="1"/>
    <col min="9474" max="9474" width="35.6640625" style="20" customWidth="1"/>
    <col min="9475" max="9475" width="117.88671875" style="20" customWidth="1"/>
    <col min="9476" max="9728" width="9.109375" style="20"/>
    <col min="9729" max="9729" width="3.88671875" style="20" customWidth="1"/>
    <col min="9730" max="9730" width="35.6640625" style="20" customWidth="1"/>
    <col min="9731" max="9731" width="117.88671875" style="20" customWidth="1"/>
    <col min="9732" max="9984" width="9.109375" style="20"/>
    <col min="9985" max="9985" width="3.88671875" style="20" customWidth="1"/>
    <col min="9986" max="9986" width="35.6640625" style="20" customWidth="1"/>
    <col min="9987" max="9987" width="117.88671875" style="20" customWidth="1"/>
    <col min="9988" max="10240" width="9.109375" style="20"/>
    <col min="10241" max="10241" width="3.88671875" style="20" customWidth="1"/>
    <col min="10242" max="10242" width="35.6640625" style="20" customWidth="1"/>
    <col min="10243" max="10243" width="117.88671875" style="20" customWidth="1"/>
    <col min="10244" max="10496" width="9.109375" style="20"/>
    <col min="10497" max="10497" width="3.88671875" style="20" customWidth="1"/>
    <col min="10498" max="10498" width="35.6640625" style="20" customWidth="1"/>
    <col min="10499" max="10499" width="117.88671875" style="20" customWidth="1"/>
    <col min="10500" max="10752" width="9.109375" style="20"/>
    <col min="10753" max="10753" width="3.88671875" style="20" customWidth="1"/>
    <col min="10754" max="10754" width="35.6640625" style="20" customWidth="1"/>
    <col min="10755" max="10755" width="117.88671875" style="20" customWidth="1"/>
    <col min="10756" max="11008" width="9.109375" style="20"/>
    <col min="11009" max="11009" width="3.88671875" style="20" customWidth="1"/>
    <col min="11010" max="11010" width="35.6640625" style="20" customWidth="1"/>
    <col min="11011" max="11011" width="117.88671875" style="20" customWidth="1"/>
    <col min="11012" max="11264" width="9.109375" style="20"/>
    <col min="11265" max="11265" width="3.88671875" style="20" customWidth="1"/>
    <col min="11266" max="11266" width="35.6640625" style="20" customWidth="1"/>
    <col min="11267" max="11267" width="117.88671875" style="20" customWidth="1"/>
    <col min="11268" max="11520" width="9.109375" style="20"/>
    <col min="11521" max="11521" width="3.88671875" style="20" customWidth="1"/>
    <col min="11522" max="11522" width="35.6640625" style="20" customWidth="1"/>
    <col min="11523" max="11523" width="117.88671875" style="20" customWidth="1"/>
    <col min="11524" max="11776" width="9.109375" style="20"/>
    <col min="11777" max="11777" width="3.88671875" style="20" customWidth="1"/>
    <col min="11778" max="11778" width="35.6640625" style="20" customWidth="1"/>
    <col min="11779" max="11779" width="117.88671875" style="20" customWidth="1"/>
    <col min="11780" max="12032" width="9.109375" style="20"/>
    <col min="12033" max="12033" width="3.88671875" style="20" customWidth="1"/>
    <col min="12034" max="12034" width="35.6640625" style="20" customWidth="1"/>
    <col min="12035" max="12035" width="117.88671875" style="20" customWidth="1"/>
    <col min="12036" max="12288" width="9.109375" style="20"/>
    <col min="12289" max="12289" width="3.88671875" style="20" customWidth="1"/>
    <col min="12290" max="12290" width="35.6640625" style="20" customWidth="1"/>
    <col min="12291" max="12291" width="117.88671875" style="20" customWidth="1"/>
    <col min="12292" max="12544" width="9.109375" style="20"/>
    <col min="12545" max="12545" width="3.88671875" style="20" customWidth="1"/>
    <col min="12546" max="12546" width="35.6640625" style="20" customWidth="1"/>
    <col min="12547" max="12547" width="117.88671875" style="20" customWidth="1"/>
    <col min="12548" max="12800" width="9.109375" style="20"/>
    <col min="12801" max="12801" width="3.88671875" style="20" customWidth="1"/>
    <col min="12802" max="12802" width="35.6640625" style="20" customWidth="1"/>
    <col min="12803" max="12803" width="117.88671875" style="20" customWidth="1"/>
    <col min="12804" max="13056" width="9.109375" style="20"/>
    <col min="13057" max="13057" width="3.88671875" style="20" customWidth="1"/>
    <col min="13058" max="13058" width="35.6640625" style="20" customWidth="1"/>
    <col min="13059" max="13059" width="117.88671875" style="20" customWidth="1"/>
    <col min="13060" max="13312" width="9.109375" style="20"/>
    <col min="13313" max="13313" width="3.88671875" style="20" customWidth="1"/>
    <col min="13314" max="13314" width="35.6640625" style="20" customWidth="1"/>
    <col min="13315" max="13315" width="117.88671875" style="20" customWidth="1"/>
    <col min="13316" max="13568" width="9.109375" style="20"/>
    <col min="13569" max="13569" width="3.88671875" style="20" customWidth="1"/>
    <col min="13570" max="13570" width="35.6640625" style="20" customWidth="1"/>
    <col min="13571" max="13571" width="117.88671875" style="20" customWidth="1"/>
    <col min="13572" max="13824" width="9.109375" style="20"/>
    <col min="13825" max="13825" width="3.88671875" style="20" customWidth="1"/>
    <col min="13826" max="13826" width="35.6640625" style="20" customWidth="1"/>
    <col min="13827" max="13827" width="117.88671875" style="20" customWidth="1"/>
    <col min="13828" max="14080" width="9.109375" style="20"/>
    <col min="14081" max="14081" width="3.88671875" style="20" customWidth="1"/>
    <col min="14082" max="14082" width="35.6640625" style="20" customWidth="1"/>
    <col min="14083" max="14083" width="117.88671875" style="20" customWidth="1"/>
    <col min="14084" max="14336" width="9.109375" style="20"/>
    <col min="14337" max="14337" width="3.88671875" style="20" customWidth="1"/>
    <col min="14338" max="14338" width="35.6640625" style="20" customWidth="1"/>
    <col min="14339" max="14339" width="117.88671875" style="20" customWidth="1"/>
    <col min="14340" max="14592" width="9.109375" style="20"/>
    <col min="14593" max="14593" width="3.88671875" style="20" customWidth="1"/>
    <col min="14594" max="14594" width="35.6640625" style="20" customWidth="1"/>
    <col min="14595" max="14595" width="117.88671875" style="20" customWidth="1"/>
    <col min="14596" max="14848" width="9.109375" style="20"/>
    <col min="14849" max="14849" width="3.88671875" style="20" customWidth="1"/>
    <col min="14850" max="14850" width="35.6640625" style="20" customWidth="1"/>
    <col min="14851" max="14851" width="117.88671875" style="20" customWidth="1"/>
    <col min="14852" max="15104" width="9.109375" style="20"/>
    <col min="15105" max="15105" width="3.88671875" style="20" customWidth="1"/>
    <col min="15106" max="15106" width="35.6640625" style="20" customWidth="1"/>
    <col min="15107" max="15107" width="117.88671875" style="20" customWidth="1"/>
    <col min="15108" max="15360" width="9.109375" style="20"/>
    <col min="15361" max="15361" width="3.88671875" style="20" customWidth="1"/>
    <col min="15362" max="15362" width="35.6640625" style="20" customWidth="1"/>
    <col min="15363" max="15363" width="117.88671875" style="20" customWidth="1"/>
    <col min="15364" max="15616" width="9.109375" style="20"/>
    <col min="15617" max="15617" width="3.88671875" style="20" customWidth="1"/>
    <col min="15618" max="15618" width="35.6640625" style="20" customWidth="1"/>
    <col min="15619" max="15619" width="117.88671875" style="20" customWidth="1"/>
    <col min="15620" max="15872" width="9.109375" style="20"/>
    <col min="15873" max="15873" width="3.88671875" style="20" customWidth="1"/>
    <col min="15874" max="15874" width="35.6640625" style="20" customWidth="1"/>
    <col min="15875" max="15875" width="117.88671875" style="20" customWidth="1"/>
    <col min="15876" max="16128" width="9.109375" style="20"/>
    <col min="16129" max="16129" width="3.88671875" style="20" customWidth="1"/>
    <col min="16130" max="16130" width="35.6640625" style="20" customWidth="1"/>
    <col min="16131" max="16131" width="117.88671875" style="20" customWidth="1"/>
    <col min="16132" max="16384" width="9.109375" style="20"/>
  </cols>
  <sheetData>
    <row r="1" spans="2:3" ht="32.25" customHeight="1">
      <c r="B1" s="111" t="s">
        <v>97</v>
      </c>
      <c r="C1" s="111"/>
    </row>
    <row r="2" spans="2:3" ht="35.25" customHeight="1">
      <c r="B2" s="112" t="s">
        <v>98</v>
      </c>
      <c r="C2" s="112"/>
    </row>
    <row r="3" spans="2:3" ht="23.25" customHeight="1">
      <c r="B3" s="21"/>
      <c r="C3" s="21"/>
    </row>
    <row r="4" spans="2:3" ht="25.5" customHeight="1">
      <c r="B4" s="113" t="s">
        <v>1</v>
      </c>
      <c r="C4" s="113"/>
    </row>
    <row r="5" spans="2:3" ht="25.5" customHeight="1">
      <c r="B5" s="114" t="s">
        <v>12</v>
      </c>
      <c r="C5" s="114"/>
    </row>
    <row r="6" spans="2:3" ht="25.5" customHeight="1">
      <c r="B6" s="114" t="s">
        <v>11</v>
      </c>
      <c r="C6" s="114"/>
    </row>
    <row r="7" spans="2:3" ht="25.5" customHeight="1">
      <c r="B7" s="114" t="s">
        <v>99</v>
      </c>
      <c r="C7" s="114"/>
    </row>
    <row r="8" spans="2:3" ht="25.5" customHeight="1">
      <c r="B8" s="114" t="s">
        <v>23</v>
      </c>
      <c r="C8" s="114"/>
    </row>
    <row r="9" spans="2:3" ht="25.5" customHeight="1">
      <c r="B9" s="114" t="s">
        <v>13</v>
      </c>
      <c r="C9" s="114"/>
    </row>
    <row r="10" spans="2:3" ht="25.5" customHeight="1">
      <c r="B10" s="114" t="s">
        <v>24</v>
      </c>
      <c r="C10" s="114"/>
    </row>
    <row r="11" spans="2:3" ht="25.5" customHeight="1">
      <c r="B11" s="115" t="s">
        <v>14</v>
      </c>
      <c r="C11" s="116"/>
    </row>
    <row r="12" spans="2:3" ht="25.5" customHeight="1">
      <c r="B12" s="114" t="s">
        <v>100</v>
      </c>
      <c r="C12" s="114"/>
    </row>
    <row r="13" spans="2:3" ht="25.5" customHeight="1">
      <c r="B13" s="117" t="s">
        <v>101</v>
      </c>
      <c r="C13" s="117"/>
    </row>
    <row r="14" spans="2:3" ht="25.5" customHeight="1">
      <c r="B14" s="114" t="s">
        <v>102</v>
      </c>
      <c r="C14" s="114"/>
    </row>
    <row r="15" spans="2:3" ht="25.5" customHeight="1">
      <c r="B15" s="114" t="s">
        <v>103</v>
      </c>
      <c r="C15" s="114"/>
    </row>
    <row r="16" spans="2:3" ht="25.5" customHeight="1">
      <c r="B16" s="114" t="s">
        <v>104</v>
      </c>
      <c r="C16" s="114"/>
    </row>
    <row r="17" spans="2:3" ht="25.5" customHeight="1">
      <c r="B17" s="114" t="s">
        <v>105</v>
      </c>
      <c r="C17" s="114"/>
    </row>
    <row r="18" spans="2:3" ht="25.5" customHeight="1">
      <c r="B18" s="114" t="s">
        <v>106</v>
      </c>
      <c r="C18" s="114"/>
    </row>
    <row r="19" spans="2:3" ht="25.5" customHeight="1">
      <c r="B19" s="117" t="s">
        <v>15</v>
      </c>
      <c r="C19" s="114"/>
    </row>
    <row r="20" spans="2:3" ht="25.5" customHeight="1">
      <c r="B20" s="117" t="s">
        <v>107</v>
      </c>
      <c r="C20" s="114"/>
    </row>
    <row r="21" spans="2:3" ht="25.5" customHeight="1">
      <c r="B21" s="114" t="s">
        <v>108</v>
      </c>
      <c r="C21" s="114"/>
    </row>
    <row r="22" spans="2:3" ht="25.5" customHeight="1">
      <c r="B22" s="22"/>
      <c r="C22" s="23"/>
    </row>
    <row r="23" spans="2:3" ht="25.5" customHeight="1">
      <c r="B23" s="97" t="s">
        <v>10</v>
      </c>
      <c r="C23" s="97"/>
    </row>
    <row r="24" spans="2:3" ht="25.5" customHeight="1">
      <c r="B24" s="97"/>
      <c r="C24" s="97"/>
    </row>
    <row r="25" spans="2:3" ht="25.5" customHeight="1">
      <c r="B25" s="98" t="s">
        <v>109</v>
      </c>
      <c r="C25" s="98"/>
    </row>
    <row r="26" spans="2:3" ht="25.5" customHeight="1" thickBot="1">
      <c r="B26" s="98" t="s">
        <v>25</v>
      </c>
      <c r="C26" s="99"/>
    </row>
    <row r="27" spans="2:3" ht="53.4" thickBot="1">
      <c r="B27" s="24" t="s">
        <v>110</v>
      </c>
      <c r="C27" s="25" t="s">
        <v>26</v>
      </c>
    </row>
    <row r="28" spans="2:3" ht="27" thickBot="1">
      <c r="B28" s="24" t="s">
        <v>111</v>
      </c>
      <c r="C28" s="25" t="s">
        <v>112</v>
      </c>
    </row>
    <row r="29" spans="2:3" ht="27" thickBot="1">
      <c r="B29" s="26" t="s">
        <v>113</v>
      </c>
      <c r="C29" s="25" t="s">
        <v>27</v>
      </c>
    </row>
    <row r="30" spans="2:3" ht="40.200000000000003" thickBot="1">
      <c r="B30" s="27" t="s">
        <v>114</v>
      </c>
      <c r="C30" s="25" t="s">
        <v>115</v>
      </c>
    </row>
    <row r="31" spans="2:3" ht="40.200000000000003" thickBot="1">
      <c r="B31" s="26" t="s">
        <v>116</v>
      </c>
      <c r="C31" s="25" t="s">
        <v>28</v>
      </c>
    </row>
    <row r="32" spans="2:3" ht="18.75" customHeight="1" thickBot="1">
      <c r="B32" s="28" t="s">
        <v>3</v>
      </c>
      <c r="C32" s="29" t="s">
        <v>117</v>
      </c>
    </row>
    <row r="33" spans="2:3" ht="18.75" customHeight="1" thickBot="1">
      <c r="B33" s="28" t="s">
        <v>118</v>
      </c>
      <c r="C33" s="29" t="s">
        <v>119</v>
      </c>
    </row>
    <row r="34" spans="2:3" ht="18.75" customHeight="1" thickBot="1">
      <c r="B34" s="28" t="s">
        <v>120</v>
      </c>
      <c r="C34" s="29" t="s">
        <v>119</v>
      </c>
    </row>
    <row r="35" spans="2:3" ht="27" thickBot="1">
      <c r="B35" s="26" t="s">
        <v>121</v>
      </c>
      <c r="C35" s="25" t="s">
        <v>29</v>
      </c>
    </row>
    <row r="36" spans="2:3" ht="40.200000000000003" thickBot="1">
      <c r="B36" s="26" t="s">
        <v>122</v>
      </c>
      <c r="C36" s="25" t="s">
        <v>123</v>
      </c>
    </row>
    <row r="37" spans="2:3" ht="27" thickBot="1">
      <c r="B37" s="26" t="s">
        <v>124</v>
      </c>
      <c r="C37" s="25" t="s">
        <v>125</v>
      </c>
    </row>
    <row r="38" spans="2:3" ht="15" thickBot="1">
      <c r="B38" s="26"/>
      <c r="C38" s="25"/>
    </row>
    <row r="39" spans="2:3" ht="14.4">
      <c r="B39" s="100" t="s">
        <v>30</v>
      </c>
      <c r="C39" s="100"/>
    </row>
    <row r="40" spans="2:3" ht="15" thickBot="1">
      <c r="B40" s="100" t="s">
        <v>31</v>
      </c>
      <c r="C40" s="101"/>
    </row>
    <row r="41" spans="2:3" ht="32.25" customHeight="1" thickBot="1">
      <c r="B41" s="26" t="s">
        <v>126</v>
      </c>
      <c r="C41" s="25" t="s">
        <v>32</v>
      </c>
    </row>
    <row r="42" spans="2:3" ht="23.25" customHeight="1" thickBot="1">
      <c r="B42" s="26" t="s">
        <v>127</v>
      </c>
      <c r="C42" s="25" t="s">
        <v>33</v>
      </c>
    </row>
    <row r="43" spans="2:3" ht="27.75" customHeight="1" thickBot="1">
      <c r="B43" s="26" t="s">
        <v>128</v>
      </c>
      <c r="C43" s="25" t="s">
        <v>129</v>
      </c>
    </row>
    <row r="44" spans="2:3" ht="15.75" customHeight="1">
      <c r="B44" s="100" t="s">
        <v>34</v>
      </c>
      <c r="C44" s="100"/>
    </row>
    <row r="45" spans="2:3" ht="16.5" customHeight="1" thickBot="1">
      <c r="B45" s="100" t="s">
        <v>35</v>
      </c>
      <c r="C45" s="101"/>
    </row>
    <row r="46" spans="2:3" ht="37.5" customHeight="1" thickBot="1">
      <c r="B46" s="26" t="s">
        <v>130</v>
      </c>
      <c r="C46" s="25" t="s">
        <v>131</v>
      </c>
    </row>
    <row r="47" spans="2:3" ht="40.5" customHeight="1" thickBot="1">
      <c r="B47" s="26" t="s">
        <v>132</v>
      </c>
      <c r="C47" s="25" t="s">
        <v>131</v>
      </c>
    </row>
    <row r="48" spans="2:3" ht="34.5" customHeight="1" thickBot="1">
      <c r="B48" s="26" t="s">
        <v>133</v>
      </c>
      <c r="C48" s="25" t="s">
        <v>131</v>
      </c>
    </row>
    <row r="49" spans="2:3" ht="24" customHeight="1" thickBot="1">
      <c r="B49" s="102" t="s">
        <v>2</v>
      </c>
      <c r="C49" s="102"/>
    </row>
    <row r="50" spans="2:3" ht="23.25" customHeight="1">
      <c r="B50" s="30"/>
      <c r="C50" s="31"/>
    </row>
    <row r="51" spans="2:3" ht="25.5" customHeight="1">
      <c r="B51" s="98" t="s">
        <v>134</v>
      </c>
      <c r="C51" s="99"/>
    </row>
    <row r="52" spans="2:3" ht="25.5" customHeight="1" thickBot="1">
      <c r="B52" s="98" t="s">
        <v>36</v>
      </c>
      <c r="C52" s="99"/>
    </row>
    <row r="53" spans="2:3" ht="51" customHeight="1" thickBot="1">
      <c r="B53" s="26" t="s">
        <v>135</v>
      </c>
      <c r="C53" s="25" t="s">
        <v>37</v>
      </c>
    </row>
    <row r="54" spans="2:3" ht="33.75" customHeight="1" thickBot="1">
      <c r="B54" s="26" t="s">
        <v>136</v>
      </c>
      <c r="C54" s="25" t="s">
        <v>38</v>
      </c>
    </row>
    <row r="55" spans="2:3" ht="40.200000000000003" thickBot="1">
      <c r="B55" s="26" t="s">
        <v>4</v>
      </c>
      <c r="C55" s="25" t="s">
        <v>39</v>
      </c>
    </row>
    <row r="56" spans="2:3" ht="25.5" customHeight="1" thickBot="1">
      <c r="B56" s="102" t="s">
        <v>2</v>
      </c>
      <c r="C56" s="102"/>
    </row>
    <row r="57" spans="2:3" ht="25.5" customHeight="1">
      <c r="B57" s="32"/>
      <c r="C57" s="31"/>
    </row>
    <row r="58" spans="2:3" ht="25.5" customHeight="1">
      <c r="B58" s="98" t="s">
        <v>16</v>
      </c>
      <c r="C58" s="99"/>
    </row>
    <row r="59" spans="2:3" ht="25.5" customHeight="1" thickBot="1">
      <c r="B59" s="98" t="s">
        <v>137</v>
      </c>
      <c r="C59" s="99"/>
    </row>
    <row r="60" spans="2:3" ht="66.599999999999994" thickBot="1">
      <c r="B60" s="33" t="s">
        <v>138</v>
      </c>
      <c r="C60" s="25" t="s">
        <v>40</v>
      </c>
    </row>
    <row r="61" spans="2:3" ht="27" thickBot="1">
      <c r="B61" s="33" t="s">
        <v>139</v>
      </c>
      <c r="C61" s="25" t="s">
        <v>41</v>
      </c>
    </row>
    <row r="62" spans="2:3" ht="27" thickBot="1">
      <c r="B62" s="26" t="s">
        <v>9</v>
      </c>
      <c r="C62" s="25" t="s">
        <v>42</v>
      </c>
    </row>
    <row r="63" spans="2:3" ht="25.5" customHeight="1" thickBot="1">
      <c r="B63" s="33" t="s">
        <v>140</v>
      </c>
      <c r="C63" s="25" t="s">
        <v>141</v>
      </c>
    </row>
    <row r="64" spans="2:3" ht="53.4" thickBot="1">
      <c r="B64" s="26" t="s">
        <v>5</v>
      </c>
      <c r="C64" s="25" t="s">
        <v>142</v>
      </c>
    </row>
    <row r="65" spans="2:3" ht="25.5" customHeight="1" thickBot="1">
      <c r="B65" s="26" t="s">
        <v>6</v>
      </c>
      <c r="C65" s="25" t="s">
        <v>143</v>
      </c>
    </row>
    <row r="66" spans="2:3" ht="25.5" customHeight="1" thickBot="1">
      <c r="B66" s="33" t="s">
        <v>144</v>
      </c>
      <c r="C66" s="25" t="s">
        <v>8</v>
      </c>
    </row>
    <row r="67" spans="2:3" ht="42" customHeight="1" thickBot="1">
      <c r="B67" s="25" t="s">
        <v>145</v>
      </c>
      <c r="C67" s="25" t="s">
        <v>7</v>
      </c>
    </row>
    <row r="68" spans="2:3" ht="137.25" customHeight="1" thickBot="1">
      <c r="B68" s="34" t="s">
        <v>18</v>
      </c>
      <c r="C68" s="25" t="s">
        <v>146</v>
      </c>
    </row>
    <row r="69" spans="2:3" ht="27" customHeight="1" thickBot="1">
      <c r="B69" s="39" t="s">
        <v>159</v>
      </c>
      <c r="C69" s="105" t="s">
        <v>173</v>
      </c>
    </row>
    <row r="70" spans="2:3" ht="27" customHeight="1" thickBot="1">
      <c r="B70" s="39" t="s">
        <v>160</v>
      </c>
      <c r="C70" s="106"/>
    </row>
    <row r="71" spans="2:3" ht="27" customHeight="1" thickBot="1">
      <c r="B71" s="39" t="s">
        <v>161</v>
      </c>
      <c r="C71" s="106"/>
    </row>
    <row r="72" spans="2:3" ht="27" customHeight="1" thickBot="1">
      <c r="B72" s="39" t="s">
        <v>162</v>
      </c>
      <c r="C72" s="106"/>
    </row>
    <row r="73" spans="2:3" ht="27" customHeight="1" thickBot="1">
      <c r="B73" s="39" t="s">
        <v>163</v>
      </c>
      <c r="C73" s="107"/>
    </row>
    <row r="74" spans="2:3" ht="27" customHeight="1" thickBot="1">
      <c r="B74" s="39" t="s">
        <v>164</v>
      </c>
      <c r="C74" s="37"/>
    </row>
    <row r="75" spans="2:3" ht="27" customHeight="1" thickBot="1">
      <c r="B75" s="39" t="s">
        <v>165</v>
      </c>
      <c r="C75" s="37"/>
    </row>
    <row r="76" spans="2:3" ht="27" customHeight="1" thickBot="1">
      <c r="B76" s="39" t="s">
        <v>166</v>
      </c>
      <c r="C76" s="37"/>
    </row>
    <row r="77" spans="2:3" ht="27" customHeight="1" thickBot="1">
      <c r="B77" s="39" t="s">
        <v>167</v>
      </c>
      <c r="C77" s="37"/>
    </row>
    <row r="78" spans="2:3" ht="27" customHeight="1" thickBot="1">
      <c r="B78" s="39" t="s">
        <v>168</v>
      </c>
      <c r="C78" s="37"/>
    </row>
    <row r="79" spans="2:3" ht="27" customHeight="1" thickBot="1">
      <c r="B79" s="39" t="s">
        <v>169</v>
      </c>
      <c r="C79" s="37"/>
    </row>
    <row r="80" spans="2:3" ht="27" customHeight="1" thickBot="1">
      <c r="B80" s="39" t="s">
        <v>170</v>
      </c>
      <c r="C80" s="37"/>
    </row>
    <row r="81" spans="2:3" ht="27" customHeight="1" thickBot="1">
      <c r="B81" s="39" t="s">
        <v>171</v>
      </c>
      <c r="C81" s="37"/>
    </row>
    <row r="82" spans="2:3" ht="27" customHeight="1" thickBot="1">
      <c r="B82" s="39" t="s">
        <v>172</v>
      </c>
      <c r="C82" s="37"/>
    </row>
    <row r="83" spans="2:3" ht="27" customHeight="1" thickBot="1">
      <c r="B83" s="39" t="s">
        <v>178</v>
      </c>
      <c r="C83" s="37"/>
    </row>
    <row r="84" spans="2:3" ht="27" customHeight="1" thickBot="1">
      <c r="B84" s="39" t="s">
        <v>177</v>
      </c>
      <c r="C84" s="37"/>
    </row>
    <row r="85" spans="2:3" ht="27" customHeight="1" thickBot="1">
      <c r="B85" s="39" t="s">
        <v>176</v>
      </c>
      <c r="C85" s="37"/>
    </row>
    <row r="86" spans="2:3" ht="36.75" customHeight="1" thickBot="1">
      <c r="B86" s="102" t="s">
        <v>2</v>
      </c>
      <c r="C86" s="102"/>
    </row>
    <row r="87" spans="2:3" ht="36" customHeight="1">
      <c r="B87" s="35"/>
    </row>
    <row r="88" spans="2:3" ht="25.5" customHeight="1">
      <c r="B88" s="98" t="s">
        <v>17</v>
      </c>
      <c r="C88" s="99"/>
    </row>
    <row r="89" spans="2:3" ht="25.5" customHeight="1">
      <c r="B89" s="98" t="s">
        <v>36</v>
      </c>
      <c r="C89" s="99"/>
    </row>
    <row r="90" spans="2:3" ht="25.5" customHeight="1">
      <c r="B90" s="98" t="s">
        <v>147</v>
      </c>
      <c r="C90" s="99"/>
    </row>
    <row r="91" spans="2:3" ht="25.5" customHeight="1" thickBot="1">
      <c r="B91" s="98" t="s">
        <v>148</v>
      </c>
      <c r="C91" s="99"/>
    </row>
    <row r="92" spans="2:3" ht="35.25" customHeight="1" thickBot="1">
      <c r="B92" s="33" t="s">
        <v>139</v>
      </c>
      <c r="C92" s="25" t="s">
        <v>43</v>
      </c>
    </row>
    <row r="93" spans="2:3" ht="27" thickBot="1">
      <c r="B93" s="26" t="s">
        <v>9</v>
      </c>
      <c r="C93" s="36" t="s">
        <v>44</v>
      </c>
    </row>
    <row r="94" spans="2:3" ht="25.5" customHeight="1" thickBot="1">
      <c r="B94" s="26" t="s">
        <v>149</v>
      </c>
      <c r="C94" s="25" t="s">
        <v>150</v>
      </c>
    </row>
    <row r="95" spans="2:3" ht="40.200000000000003" thickBot="1">
      <c r="B95" s="26" t="s">
        <v>5</v>
      </c>
      <c r="C95" s="25" t="s">
        <v>151</v>
      </c>
    </row>
    <row r="96" spans="2:3" ht="25.5" customHeight="1" thickBot="1">
      <c r="B96" s="38" t="s">
        <v>159</v>
      </c>
      <c r="C96" s="108" t="s">
        <v>174</v>
      </c>
    </row>
    <row r="97" spans="2:3" ht="25.5" customHeight="1" thickBot="1">
      <c r="B97" s="38" t="s">
        <v>160</v>
      </c>
      <c r="C97" s="109"/>
    </row>
    <row r="98" spans="2:3" ht="25.5" customHeight="1" thickBot="1">
      <c r="B98" s="38" t="s">
        <v>161</v>
      </c>
      <c r="C98" s="109"/>
    </row>
    <row r="99" spans="2:3" ht="25.5" customHeight="1" thickBot="1">
      <c r="B99" s="38" t="s">
        <v>163</v>
      </c>
      <c r="C99" s="109"/>
    </row>
    <row r="100" spans="2:3" ht="25.5" customHeight="1" thickBot="1">
      <c r="B100" s="38" t="s">
        <v>164</v>
      </c>
      <c r="C100" s="109"/>
    </row>
    <row r="101" spans="2:3" ht="25.5" customHeight="1" thickBot="1">
      <c r="B101" s="38" t="s">
        <v>165</v>
      </c>
      <c r="C101" s="109"/>
    </row>
    <row r="102" spans="2:3" ht="25.5" customHeight="1" thickBot="1">
      <c r="B102" s="38" t="s">
        <v>166</v>
      </c>
      <c r="C102" s="109"/>
    </row>
    <row r="103" spans="2:3" ht="25.5" customHeight="1" thickBot="1">
      <c r="B103" s="38" t="s">
        <v>167</v>
      </c>
      <c r="C103" s="109"/>
    </row>
    <row r="104" spans="2:3" ht="25.5" customHeight="1" thickBot="1">
      <c r="B104" s="38" t="s">
        <v>168</v>
      </c>
      <c r="C104" s="110"/>
    </row>
    <row r="105" spans="2:3" ht="25.5" customHeight="1" thickBot="1">
      <c r="B105" s="103" t="s">
        <v>2</v>
      </c>
      <c r="C105" s="104"/>
    </row>
  </sheetData>
  <sheetProtection selectLockedCells="1"/>
  <mergeCells count="41">
    <mergeCell ref="B17:C17"/>
    <mergeCell ref="B18:C18"/>
    <mergeCell ref="B19:C19"/>
    <mergeCell ref="B20:C20"/>
    <mergeCell ref="B21:C21"/>
    <mergeCell ref="B12:C12"/>
    <mergeCell ref="B13:C13"/>
    <mergeCell ref="B14:C14"/>
    <mergeCell ref="B15:C15"/>
    <mergeCell ref="B16:C16"/>
    <mergeCell ref="B7:C7"/>
    <mergeCell ref="B8:C8"/>
    <mergeCell ref="B9:C9"/>
    <mergeCell ref="B10:C10"/>
    <mergeCell ref="B11:C11"/>
    <mergeCell ref="B1:C1"/>
    <mergeCell ref="B2:C2"/>
    <mergeCell ref="B4:C4"/>
    <mergeCell ref="B5:C5"/>
    <mergeCell ref="B6:C6"/>
    <mergeCell ref="B44:C44"/>
    <mergeCell ref="B45:C45"/>
    <mergeCell ref="B49:C49"/>
    <mergeCell ref="B105:C105"/>
    <mergeCell ref="B91:C91"/>
    <mergeCell ref="B86:C86"/>
    <mergeCell ref="B88:C88"/>
    <mergeCell ref="B89:C89"/>
    <mergeCell ref="B90:C90"/>
    <mergeCell ref="B51:C51"/>
    <mergeCell ref="B52:C52"/>
    <mergeCell ref="B56:C56"/>
    <mergeCell ref="B58:C58"/>
    <mergeCell ref="B59:C59"/>
    <mergeCell ref="C69:C73"/>
    <mergeCell ref="C96:C104"/>
    <mergeCell ref="B23:C24"/>
    <mergeCell ref="B25:C25"/>
    <mergeCell ref="B26:C26"/>
    <mergeCell ref="B39:C39"/>
    <mergeCell ref="B40:C40"/>
  </mergeCells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XEX22"/>
  <sheetViews>
    <sheetView workbookViewId="0">
      <selection activeCell="B15" sqref="B15"/>
    </sheetView>
  </sheetViews>
  <sheetFormatPr defaultColWidth="9.109375" defaultRowHeight="14.4"/>
  <cols>
    <col min="1" max="1" width="15.109375" style="12" customWidth="1"/>
    <col min="2" max="2" width="60.5546875" style="12" customWidth="1"/>
    <col min="3" max="3" width="21.44140625" style="12" bestFit="1" customWidth="1"/>
    <col min="4" max="4" width="17" style="12" customWidth="1"/>
    <col min="5" max="5" width="14.5546875" style="12" customWidth="1"/>
    <col min="6" max="6" width="21.44140625" style="12" bestFit="1" customWidth="1"/>
    <col min="7" max="8" width="31.6640625" style="12" bestFit="1" customWidth="1"/>
    <col min="9" max="9" width="13.33203125" style="12" customWidth="1"/>
    <col min="10" max="10" width="20.5546875" style="12" customWidth="1"/>
    <col min="11" max="11" width="12.6640625" style="12" customWidth="1"/>
    <col min="12" max="12" width="20.44140625" style="3" customWidth="1"/>
    <col min="13" max="13" width="24.88671875" style="3" customWidth="1"/>
    <col min="14" max="14" width="36.33203125" style="3" customWidth="1"/>
    <col min="15" max="15" width="39.109375" style="3" customWidth="1"/>
    <col min="16" max="16" width="38.44140625" style="3" customWidth="1"/>
    <col min="17" max="17" width="38.6640625" style="3" customWidth="1"/>
    <col min="18" max="18" width="9.109375" style="3"/>
    <col min="19" max="19" width="15.109375" style="3" bestFit="1" customWidth="1"/>
    <col min="20" max="20" width="9.109375" style="3"/>
    <col min="21" max="21" width="9" style="3" bestFit="1" customWidth="1"/>
    <col min="22" max="16384" width="9.109375" style="3"/>
  </cols>
  <sheetData>
    <row r="1" spans="1:16378" s="83" customFormat="1" ht="110.25" customHeight="1">
      <c r="A1" s="80" t="s">
        <v>45</v>
      </c>
      <c r="B1" s="80" t="s">
        <v>46</v>
      </c>
      <c r="C1" s="80" t="s">
        <v>47</v>
      </c>
      <c r="D1" s="80" t="s">
        <v>48</v>
      </c>
      <c r="E1" s="80" t="s">
        <v>49</v>
      </c>
      <c r="F1" s="80" t="s">
        <v>50</v>
      </c>
      <c r="G1" s="80" t="s">
        <v>51</v>
      </c>
      <c r="H1" s="80" t="s">
        <v>52</v>
      </c>
      <c r="I1" s="80" t="s">
        <v>53</v>
      </c>
      <c r="J1" s="80" t="s">
        <v>54</v>
      </c>
      <c r="K1" s="80" t="s">
        <v>55</v>
      </c>
      <c r="L1" s="82" t="s">
        <v>56</v>
      </c>
      <c r="M1" s="82" t="s">
        <v>57</v>
      </c>
      <c r="N1" s="82" t="s">
        <v>58</v>
      </c>
      <c r="O1" s="82" t="s">
        <v>59</v>
      </c>
      <c r="P1" s="82" t="s">
        <v>60</v>
      </c>
      <c r="Q1" s="82" t="s">
        <v>61</v>
      </c>
      <c r="R1" s="3"/>
      <c r="S1" s="3"/>
      <c r="T1" s="3"/>
      <c r="U1" s="3"/>
      <c r="V1" s="3"/>
      <c r="W1" s="3"/>
      <c r="X1" s="3"/>
      <c r="Y1" s="3"/>
      <c r="Z1" s="41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</row>
    <row r="2" spans="1:16378">
      <c r="A2" s="84" t="s">
        <v>202</v>
      </c>
      <c r="B2" s="78" t="s">
        <v>200</v>
      </c>
      <c r="C2" s="12" t="s">
        <v>206</v>
      </c>
      <c r="D2" s="12" t="s">
        <v>207</v>
      </c>
      <c r="E2" s="12" t="s">
        <v>204</v>
      </c>
      <c r="F2" s="12" t="s">
        <v>208</v>
      </c>
      <c r="G2" s="12" t="s">
        <v>209</v>
      </c>
      <c r="H2" s="12" t="s">
        <v>210</v>
      </c>
      <c r="I2" s="12" t="s">
        <v>205</v>
      </c>
      <c r="J2" s="85" t="s">
        <v>211</v>
      </c>
      <c r="K2" s="12" t="s">
        <v>246</v>
      </c>
      <c r="L2" s="72" t="s">
        <v>197</v>
      </c>
      <c r="M2" s="86" t="s">
        <v>212</v>
      </c>
      <c r="N2" s="87" t="s">
        <v>199</v>
      </c>
      <c r="O2" s="87" t="s">
        <v>199</v>
      </c>
      <c r="P2" s="87" t="s">
        <v>199</v>
      </c>
      <c r="Q2" s="87" t="s">
        <v>199</v>
      </c>
    </row>
    <row r="3" spans="1:16378">
      <c r="A3" s="88" t="s">
        <v>203</v>
      </c>
      <c r="B3" s="78" t="s">
        <v>201</v>
      </c>
      <c r="C3" s="12" t="s">
        <v>206</v>
      </c>
      <c r="D3" s="12" t="s">
        <v>207</v>
      </c>
      <c r="E3" s="12" t="s">
        <v>204</v>
      </c>
      <c r="F3" s="12" t="s">
        <v>208</v>
      </c>
      <c r="G3" s="12" t="s">
        <v>209</v>
      </c>
      <c r="H3" s="12" t="s">
        <v>210</v>
      </c>
      <c r="I3" s="12" t="s">
        <v>205</v>
      </c>
      <c r="J3" s="85" t="s">
        <v>211</v>
      </c>
      <c r="K3" s="12" t="s">
        <v>246</v>
      </c>
      <c r="L3" s="72" t="s">
        <v>197</v>
      </c>
      <c r="M3" s="86" t="s">
        <v>213</v>
      </c>
      <c r="N3" s="87" t="s">
        <v>199</v>
      </c>
      <c r="O3" s="87" t="s">
        <v>199</v>
      </c>
      <c r="P3" s="87" t="s">
        <v>199</v>
      </c>
      <c r="Q3" s="87" t="s">
        <v>199</v>
      </c>
    </row>
    <row r="4" spans="1:16378" s="74" customFormat="1" ht="27.6">
      <c r="A4" s="69" t="s">
        <v>242</v>
      </c>
      <c r="B4" s="95" t="s">
        <v>224</v>
      </c>
      <c r="C4" s="12" t="s">
        <v>206</v>
      </c>
      <c r="D4" s="12" t="s">
        <v>207</v>
      </c>
      <c r="E4" s="12" t="s">
        <v>204</v>
      </c>
      <c r="F4" s="12" t="s">
        <v>208</v>
      </c>
      <c r="G4" s="12" t="s">
        <v>209</v>
      </c>
      <c r="H4" s="12" t="s">
        <v>210</v>
      </c>
      <c r="I4" s="12" t="s">
        <v>205</v>
      </c>
      <c r="J4" s="85" t="s">
        <v>211</v>
      </c>
      <c r="K4" s="12" t="s">
        <v>246</v>
      </c>
      <c r="L4" s="72" t="s">
        <v>197</v>
      </c>
      <c r="M4" s="95" t="s">
        <v>224</v>
      </c>
      <c r="N4" s="87" t="s">
        <v>199</v>
      </c>
      <c r="O4" s="87" t="s">
        <v>199</v>
      </c>
      <c r="P4" s="87" t="s">
        <v>199</v>
      </c>
      <c r="Q4" s="87" t="s">
        <v>199</v>
      </c>
    </row>
    <row r="5" spans="1:16378" s="75" customFormat="1">
      <c r="A5" s="68" t="s">
        <v>219</v>
      </c>
      <c r="B5" s="70" t="s">
        <v>220</v>
      </c>
      <c r="C5" s="12" t="s">
        <v>206</v>
      </c>
      <c r="D5" s="12" t="s">
        <v>207</v>
      </c>
      <c r="E5" s="12" t="s">
        <v>204</v>
      </c>
      <c r="F5" s="12" t="s">
        <v>208</v>
      </c>
      <c r="G5" s="12" t="s">
        <v>209</v>
      </c>
      <c r="H5" s="12" t="s">
        <v>210</v>
      </c>
      <c r="I5" s="12" t="s">
        <v>205</v>
      </c>
      <c r="J5" s="85" t="s">
        <v>211</v>
      </c>
      <c r="K5" s="12" t="s">
        <v>246</v>
      </c>
      <c r="L5" s="72" t="s">
        <v>197</v>
      </c>
      <c r="M5" s="70" t="s">
        <v>220</v>
      </c>
      <c r="N5" s="87" t="s">
        <v>199</v>
      </c>
      <c r="O5" s="87" t="s">
        <v>199</v>
      </c>
      <c r="P5" s="87" t="s">
        <v>199</v>
      </c>
      <c r="Q5" s="87" t="s">
        <v>199</v>
      </c>
      <c r="S5" s="74"/>
      <c r="T5" s="74"/>
      <c r="Z5" s="74"/>
    </row>
    <row r="6" spans="1:16378" s="75" customFormat="1">
      <c r="A6" s="68" t="s">
        <v>215</v>
      </c>
      <c r="B6" s="70" t="s">
        <v>216</v>
      </c>
      <c r="C6" s="12" t="s">
        <v>206</v>
      </c>
      <c r="D6" s="12" t="s">
        <v>207</v>
      </c>
      <c r="E6" s="12" t="s">
        <v>204</v>
      </c>
      <c r="F6" s="12" t="s">
        <v>208</v>
      </c>
      <c r="G6" s="12" t="s">
        <v>209</v>
      </c>
      <c r="H6" s="12" t="s">
        <v>210</v>
      </c>
      <c r="I6" s="12" t="s">
        <v>205</v>
      </c>
      <c r="J6" s="85" t="s">
        <v>211</v>
      </c>
      <c r="K6" s="12" t="s">
        <v>246</v>
      </c>
      <c r="L6" s="72" t="s">
        <v>197</v>
      </c>
      <c r="M6" s="70" t="s">
        <v>216</v>
      </c>
      <c r="N6" s="87" t="s">
        <v>199</v>
      </c>
      <c r="O6" s="87" t="s">
        <v>199</v>
      </c>
      <c r="P6" s="87" t="s">
        <v>199</v>
      </c>
      <c r="Q6" s="87" t="s">
        <v>199</v>
      </c>
      <c r="S6" s="74"/>
      <c r="T6" s="74"/>
      <c r="Z6" s="74"/>
    </row>
    <row r="7" spans="1:16378" s="75" customFormat="1">
      <c r="A7" s="68" t="s">
        <v>243</v>
      </c>
      <c r="B7" s="70" t="s">
        <v>221</v>
      </c>
      <c r="C7" s="12" t="s">
        <v>206</v>
      </c>
      <c r="D7" s="12" t="s">
        <v>207</v>
      </c>
      <c r="E7" s="12" t="s">
        <v>204</v>
      </c>
      <c r="F7" s="12" t="s">
        <v>208</v>
      </c>
      <c r="G7" s="12" t="s">
        <v>209</v>
      </c>
      <c r="H7" s="12" t="s">
        <v>210</v>
      </c>
      <c r="I7" s="12" t="s">
        <v>205</v>
      </c>
      <c r="J7" s="85" t="s">
        <v>211</v>
      </c>
      <c r="K7" s="12" t="s">
        <v>246</v>
      </c>
      <c r="L7" s="72" t="s">
        <v>197</v>
      </c>
      <c r="M7" s="70" t="s">
        <v>221</v>
      </c>
      <c r="N7" s="87" t="s">
        <v>199</v>
      </c>
      <c r="O7" s="87" t="s">
        <v>199</v>
      </c>
      <c r="P7" s="87" t="s">
        <v>199</v>
      </c>
      <c r="Q7" s="87" t="s">
        <v>199</v>
      </c>
      <c r="S7" s="74"/>
      <c r="T7" s="74"/>
      <c r="Z7" s="74"/>
    </row>
    <row r="8" spans="1:16378" s="75" customFormat="1">
      <c r="A8" s="68" t="s">
        <v>214</v>
      </c>
      <c r="B8" s="76" t="s">
        <v>218</v>
      </c>
      <c r="C8" s="12" t="s">
        <v>206</v>
      </c>
      <c r="D8" s="12" t="s">
        <v>207</v>
      </c>
      <c r="E8" s="12" t="s">
        <v>204</v>
      </c>
      <c r="F8" s="12" t="s">
        <v>208</v>
      </c>
      <c r="G8" s="12" t="s">
        <v>209</v>
      </c>
      <c r="H8" s="12" t="s">
        <v>210</v>
      </c>
      <c r="I8" s="12" t="s">
        <v>205</v>
      </c>
      <c r="J8" s="85" t="s">
        <v>211</v>
      </c>
      <c r="K8" s="12" t="s">
        <v>246</v>
      </c>
      <c r="L8" s="72" t="s">
        <v>197</v>
      </c>
      <c r="M8" s="76" t="s">
        <v>218</v>
      </c>
      <c r="N8" s="87" t="s">
        <v>199</v>
      </c>
      <c r="O8" s="87" t="s">
        <v>199</v>
      </c>
      <c r="P8" s="87" t="s">
        <v>199</v>
      </c>
      <c r="Q8" s="87" t="s">
        <v>199</v>
      </c>
      <c r="S8" s="74"/>
      <c r="T8" s="74"/>
      <c r="Z8" s="74"/>
    </row>
    <row r="9" spans="1:16378" s="75" customFormat="1">
      <c r="A9" s="68" t="s">
        <v>222</v>
      </c>
      <c r="B9" s="76" t="s">
        <v>223</v>
      </c>
      <c r="C9" s="12" t="s">
        <v>206</v>
      </c>
      <c r="D9" s="12" t="s">
        <v>207</v>
      </c>
      <c r="E9" s="12" t="s">
        <v>204</v>
      </c>
      <c r="F9" s="12" t="s">
        <v>208</v>
      </c>
      <c r="G9" s="12" t="s">
        <v>209</v>
      </c>
      <c r="H9" s="12" t="s">
        <v>210</v>
      </c>
      <c r="I9" s="12" t="s">
        <v>205</v>
      </c>
      <c r="J9" s="85" t="s">
        <v>211</v>
      </c>
      <c r="K9" s="12" t="s">
        <v>246</v>
      </c>
      <c r="L9" s="72" t="s">
        <v>197</v>
      </c>
      <c r="M9" s="76" t="s">
        <v>223</v>
      </c>
      <c r="N9" s="87" t="s">
        <v>199</v>
      </c>
      <c r="O9" s="87" t="s">
        <v>199</v>
      </c>
      <c r="P9" s="87" t="s">
        <v>199</v>
      </c>
      <c r="Q9" s="87" t="s">
        <v>199</v>
      </c>
      <c r="S9" s="74"/>
      <c r="T9" s="74"/>
      <c r="Z9" s="74"/>
    </row>
    <row r="10" spans="1:16378" s="75" customFormat="1">
      <c r="A10" s="68" t="s">
        <v>244</v>
      </c>
      <c r="B10" s="76" t="s">
        <v>225</v>
      </c>
      <c r="C10" s="12" t="s">
        <v>206</v>
      </c>
      <c r="D10" s="12" t="s">
        <v>207</v>
      </c>
      <c r="E10" s="12" t="s">
        <v>204</v>
      </c>
      <c r="F10" s="12" t="s">
        <v>208</v>
      </c>
      <c r="G10" s="12" t="s">
        <v>209</v>
      </c>
      <c r="H10" s="12" t="s">
        <v>210</v>
      </c>
      <c r="I10" s="12" t="s">
        <v>205</v>
      </c>
      <c r="J10" s="85" t="s">
        <v>211</v>
      </c>
      <c r="K10" s="12" t="s">
        <v>246</v>
      </c>
      <c r="L10" s="72" t="s">
        <v>197</v>
      </c>
      <c r="M10" s="76" t="s">
        <v>225</v>
      </c>
      <c r="N10" s="87" t="s">
        <v>199</v>
      </c>
      <c r="O10" s="87" t="s">
        <v>199</v>
      </c>
      <c r="P10" s="87" t="s">
        <v>199</v>
      </c>
      <c r="Q10" s="87" t="s">
        <v>199</v>
      </c>
      <c r="S10" s="74"/>
      <c r="T10" s="74"/>
      <c r="Z10" s="74"/>
    </row>
    <row r="11" spans="1:16378" s="75" customFormat="1" ht="18" customHeight="1">
      <c r="A11" s="68" t="s">
        <v>245</v>
      </c>
      <c r="B11" s="76" t="s">
        <v>226</v>
      </c>
      <c r="C11" s="12" t="s">
        <v>206</v>
      </c>
      <c r="D11" s="12" t="s">
        <v>207</v>
      </c>
      <c r="E11" s="12" t="s">
        <v>204</v>
      </c>
      <c r="F11" s="12" t="s">
        <v>208</v>
      </c>
      <c r="G11" s="12" t="s">
        <v>209</v>
      </c>
      <c r="H11" s="12" t="s">
        <v>210</v>
      </c>
      <c r="I11" s="12" t="s">
        <v>205</v>
      </c>
      <c r="J11" s="85" t="s">
        <v>211</v>
      </c>
      <c r="K11" s="12" t="s">
        <v>246</v>
      </c>
      <c r="L11" s="72" t="s">
        <v>197</v>
      </c>
      <c r="M11" s="76" t="s">
        <v>226</v>
      </c>
      <c r="N11" s="87" t="s">
        <v>199</v>
      </c>
      <c r="O11" s="87" t="s">
        <v>199</v>
      </c>
      <c r="P11" s="87" t="s">
        <v>199</v>
      </c>
      <c r="Q11" s="87" t="s">
        <v>199</v>
      </c>
      <c r="S11" s="74"/>
      <c r="T11" s="74"/>
      <c r="Z11" s="74"/>
    </row>
    <row r="12" spans="1:16378" s="75" customFormat="1" ht="18" customHeight="1">
      <c r="A12" s="68" t="s">
        <v>228</v>
      </c>
      <c r="B12" s="77" t="s">
        <v>227</v>
      </c>
      <c r="C12" s="12" t="s">
        <v>206</v>
      </c>
      <c r="D12" s="12" t="s">
        <v>207</v>
      </c>
      <c r="E12" s="12" t="s">
        <v>204</v>
      </c>
      <c r="F12" s="12" t="s">
        <v>208</v>
      </c>
      <c r="G12" s="12" t="s">
        <v>209</v>
      </c>
      <c r="H12" s="12" t="s">
        <v>210</v>
      </c>
      <c r="I12" s="12" t="s">
        <v>205</v>
      </c>
      <c r="J12" s="85" t="s">
        <v>211</v>
      </c>
      <c r="K12" s="12" t="s">
        <v>246</v>
      </c>
      <c r="L12" s="72" t="s">
        <v>197</v>
      </c>
      <c r="M12" s="77" t="s">
        <v>227</v>
      </c>
      <c r="N12" s="87" t="s">
        <v>199</v>
      </c>
      <c r="O12" s="87" t="s">
        <v>199</v>
      </c>
      <c r="P12" s="87" t="s">
        <v>199</v>
      </c>
      <c r="Q12" s="87" t="s">
        <v>199</v>
      </c>
      <c r="S12" s="74"/>
      <c r="T12" s="74"/>
      <c r="Z12" s="74"/>
    </row>
    <row r="13" spans="1:16378" s="75" customFormat="1">
      <c r="A13" s="68" t="s">
        <v>230</v>
      </c>
      <c r="B13" s="78" t="s">
        <v>229</v>
      </c>
      <c r="C13" s="12" t="s">
        <v>206</v>
      </c>
      <c r="D13" s="12" t="s">
        <v>207</v>
      </c>
      <c r="E13" s="12" t="s">
        <v>204</v>
      </c>
      <c r="F13" s="12" t="s">
        <v>208</v>
      </c>
      <c r="G13" s="12" t="s">
        <v>209</v>
      </c>
      <c r="H13" s="12" t="s">
        <v>210</v>
      </c>
      <c r="I13" s="12" t="s">
        <v>205</v>
      </c>
      <c r="J13" s="85" t="s">
        <v>211</v>
      </c>
      <c r="K13" s="12" t="s">
        <v>246</v>
      </c>
      <c r="L13" s="72" t="s">
        <v>197</v>
      </c>
      <c r="M13" s="78" t="s">
        <v>229</v>
      </c>
      <c r="N13" s="87" t="s">
        <v>199</v>
      </c>
      <c r="O13" s="87" t="s">
        <v>199</v>
      </c>
      <c r="P13" s="87" t="s">
        <v>199</v>
      </c>
      <c r="Q13" s="87" t="s">
        <v>199</v>
      </c>
      <c r="S13" s="74"/>
      <c r="T13" s="74"/>
      <c r="Z13" s="74"/>
    </row>
    <row r="14" spans="1:16378" s="75" customFormat="1">
      <c r="A14" s="68" t="s">
        <v>231</v>
      </c>
      <c r="B14" s="76" t="s">
        <v>233</v>
      </c>
      <c r="C14" s="12" t="s">
        <v>206</v>
      </c>
      <c r="D14" s="12" t="s">
        <v>207</v>
      </c>
      <c r="E14" s="12" t="s">
        <v>204</v>
      </c>
      <c r="F14" s="12" t="s">
        <v>208</v>
      </c>
      <c r="G14" s="12" t="s">
        <v>209</v>
      </c>
      <c r="H14" s="12" t="s">
        <v>210</v>
      </c>
      <c r="I14" s="12" t="s">
        <v>205</v>
      </c>
      <c r="J14" s="85" t="s">
        <v>211</v>
      </c>
      <c r="K14" s="12" t="s">
        <v>246</v>
      </c>
      <c r="L14" s="72" t="s">
        <v>197</v>
      </c>
      <c r="M14" s="76" t="s">
        <v>233</v>
      </c>
      <c r="N14" s="87" t="s">
        <v>199</v>
      </c>
      <c r="O14" s="87" t="s">
        <v>199</v>
      </c>
      <c r="P14" s="87" t="s">
        <v>199</v>
      </c>
      <c r="Q14" s="87" t="s">
        <v>199</v>
      </c>
      <c r="S14" s="74"/>
      <c r="T14" s="74"/>
      <c r="Z14" s="74"/>
    </row>
    <row r="15" spans="1:16378" s="75" customFormat="1" ht="15.6">
      <c r="A15" s="68"/>
      <c r="B15" s="76"/>
      <c r="C15" s="69"/>
      <c r="D15" s="71"/>
      <c r="E15" s="71"/>
      <c r="F15" s="71"/>
      <c r="G15" s="69"/>
      <c r="H15" s="69"/>
      <c r="I15" s="69"/>
      <c r="J15" s="71"/>
      <c r="K15" s="69"/>
      <c r="L15" s="72"/>
      <c r="M15" s="76"/>
      <c r="N15" s="73"/>
      <c r="O15" s="73"/>
      <c r="P15" s="73"/>
      <c r="Q15" s="73"/>
      <c r="S15" s="74"/>
      <c r="T15" s="74"/>
      <c r="Z15" s="74"/>
    </row>
    <row r="16" spans="1:16378" s="75" customFormat="1" ht="15.6">
      <c r="A16" s="68"/>
      <c r="B16" s="76"/>
      <c r="C16" s="69"/>
      <c r="D16" s="71"/>
      <c r="E16" s="71"/>
      <c r="F16" s="71"/>
      <c r="G16" s="69"/>
      <c r="H16" s="69"/>
      <c r="I16" s="69"/>
      <c r="J16" s="71"/>
      <c r="K16" s="69"/>
      <c r="L16" s="72"/>
      <c r="M16" s="76"/>
      <c r="N16" s="73"/>
      <c r="O16" s="73"/>
      <c r="P16" s="73"/>
      <c r="Q16" s="73"/>
      <c r="S16" s="74"/>
      <c r="T16" s="74"/>
      <c r="Z16" s="74"/>
    </row>
    <row r="17" spans="1:26" s="75" customFormat="1" ht="15.6">
      <c r="A17" s="68"/>
      <c r="B17" s="76"/>
      <c r="C17" s="69"/>
      <c r="D17" s="71"/>
      <c r="E17" s="71"/>
      <c r="F17" s="71"/>
      <c r="G17" s="69"/>
      <c r="H17" s="69"/>
      <c r="I17" s="69"/>
      <c r="J17" s="71"/>
      <c r="K17" s="69"/>
      <c r="L17" s="72"/>
      <c r="M17" s="76"/>
      <c r="N17" s="73"/>
      <c r="O17" s="73"/>
      <c r="P17" s="73"/>
      <c r="Q17" s="73"/>
      <c r="S17" s="74"/>
      <c r="T17" s="74"/>
      <c r="Z17" s="74"/>
    </row>
    <row r="18" spans="1:26" s="75" customFormat="1" ht="15.6">
      <c r="A18" s="68"/>
      <c r="B18" s="76"/>
      <c r="C18" s="69"/>
      <c r="D18" s="71"/>
      <c r="E18" s="71"/>
      <c r="F18" s="71"/>
      <c r="G18" s="69"/>
      <c r="H18" s="69"/>
      <c r="I18" s="69"/>
      <c r="J18" s="71"/>
      <c r="K18" s="69"/>
      <c r="L18" s="72"/>
      <c r="M18" s="76"/>
      <c r="N18" s="73"/>
      <c r="O18" s="73"/>
      <c r="P18" s="73"/>
      <c r="Q18" s="73"/>
      <c r="S18" s="74"/>
      <c r="T18" s="74"/>
      <c r="Z18" s="74"/>
    </row>
    <row r="19" spans="1:26" s="75" customFormat="1" ht="15.6">
      <c r="A19" s="68"/>
      <c r="B19" s="76"/>
      <c r="C19" s="69"/>
      <c r="D19" s="71"/>
      <c r="E19" s="71"/>
      <c r="F19" s="71"/>
      <c r="G19" s="69"/>
      <c r="H19" s="69"/>
      <c r="I19" s="69"/>
      <c r="J19" s="71"/>
      <c r="K19" s="69"/>
      <c r="L19" s="72"/>
      <c r="M19" s="76"/>
      <c r="N19" s="73"/>
      <c r="O19" s="73"/>
      <c r="P19" s="73"/>
      <c r="Q19" s="73"/>
      <c r="S19" s="74"/>
      <c r="T19" s="74"/>
      <c r="Z19" s="74"/>
    </row>
    <row r="20" spans="1:26" s="75" customFormat="1" ht="15.6">
      <c r="A20" s="68"/>
      <c r="B20" s="76"/>
      <c r="C20" s="69"/>
      <c r="D20" s="71"/>
      <c r="E20" s="71"/>
      <c r="F20" s="71"/>
      <c r="G20" s="69"/>
      <c r="H20" s="69"/>
      <c r="I20" s="69"/>
      <c r="J20" s="71"/>
      <c r="K20" s="69"/>
      <c r="L20" s="72"/>
      <c r="M20" s="76"/>
      <c r="N20" s="73"/>
      <c r="O20" s="73"/>
      <c r="P20" s="73"/>
      <c r="Q20" s="73"/>
      <c r="S20" s="74"/>
      <c r="T20" s="74"/>
      <c r="Z20" s="74"/>
    </row>
    <row r="21" spans="1:26" s="75" customFormat="1" ht="15.6">
      <c r="A21" s="68"/>
      <c r="B21" s="76"/>
      <c r="C21" s="69"/>
      <c r="D21" s="71"/>
      <c r="E21" s="71"/>
      <c r="F21" s="71"/>
      <c r="G21" s="69"/>
      <c r="H21" s="69"/>
      <c r="I21" s="69"/>
      <c r="J21" s="71"/>
      <c r="K21" s="69"/>
      <c r="L21" s="72"/>
      <c r="M21" s="76"/>
      <c r="N21" s="73"/>
      <c r="O21" s="73"/>
      <c r="P21" s="73"/>
      <c r="Q21" s="73"/>
      <c r="S21" s="74"/>
      <c r="T21" s="74"/>
      <c r="Z21" s="74"/>
    </row>
    <row r="22" spans="1:26" s="75" customFormat="1" ht="15.6">
      <c r="A22" s="68"/>
      <c r="B22" s="79"/>
      <c r="C22" s="69"/>
      <c r="D22" s="71"/>
      <c r="E22" s="71"/>
      <c r="F22" s="71"/>
      <c r="G22" s="69"/>
      <c r="H22" s="69"/>
      <c r="I22" s="69"/>
      <c r="J22" s="71"/>
      <c r="K22" s="69"/>
      <c r="L22" s="72"/>
      <c r="M22" s="76"/>
      <c r="N22" s="73"/>
      <c r="O22" s="73"/>
      <c r="P22" s="73"/>
      <c r="Q22" s="73"/>
      <c r="S22" s="74"/>
      <c r="T22" s="74"/>
      <c r="Z22" s="74"/>
    </row>
  </sheetData>
  <sheetProtection selectLockedCells="1"/>
  <sortState xmlns:xlrd2="http://schemas.microsoft.com/office/spreadsheetml/2017/richdata2" ref="A2:Q22">
    <sortCondition ref="L2:L1048576"/>
  </sortState>
  <hyperlinks>
    <hyperlink ref="N2" r:id="rId1" xr:uid="{00000000-0004-0000-0100-000000000000}"/>
    <hyperlink ref="O2:Q2" r:id="rId2" display="suportebeneficios@grupofedcorp.com.br" xr:uid="{00000000-0004-0000-0100-000001000000}"/>
    <hyperlink ref="N3" r:id="rId3" xr:uid="{00000000-0004-0000-0100-000002000000}"/>
    <hyperlink ref="O3:Q3" r:id="rId4" display="suportebeneficios@grupofedcorp.com.br" xr:uid="{00000000-0004-0000-0100-000003000000}"/>
    <hyperlink ref="N4" r:id="rId5" xr:uid="{07541685-535B-4302-A99D-03819DA3FC98}"/>
    <hyperlink ref="O4:Q4" r:id="rId6" display="suportebeneficios@grupofedcorp.com.br" xr:uid="{F22C3744-F439-4D1B-B0C0-AD357E2F8B2A}"/>
    <hyperlink ref="N5" r:id="rId7" xr:uid="{3C212D68-8CBD-4B5E-BFEE-79DD4146C6B1}"/>
    <hyperlink ref="O5:Q5" r:id="rId8" display="suportebeneficios@grupofedcorp.com.br" xr:uid="{00AC8AEC-EFA5-4888-A161-133588391522}"/>
    <hyperlink ref="N6" r:id="rId9" xr:uid="{60B0592F-0520-4B37-A661-EFB08F843957}"/>
    <hyperlink ref="O6:Q6" r:id="rId10" display="suportebeneficios@grupofedcorp.com.br" xr:uid="{203863FA-1DD1-45EF-9EA2-5D3B68CF977C}"/>
    <hyperlink ref="N7" r:id="rId11" xr:uid="{1D6D8CE0-3AC0-4B9C-820E-9F220E54B8B9}"/>
    <hyperlink ref="O7:Q7" r:id="rId12" display="suportebeneficios@grupofedcorp.com.br" xr:uid="{C34DA81B-F40E-4F93-926C-AEB8F847EB2D}"/>
    <hyperlink ref="N8" r:id="rId13" xr:uid="{8B1D162C-3D78-4052-A81C-7976418CA0CF}"/>
    <hyperlink ref="O8:Q8" r:id="rId14" display="suportebeneficios@grupofedcorp.com.br" xr:uid="{BD76063C-075C-4D96-9F74-11590C003F6A}"/>
    <hyperlink ref="N9" r:id="rId15" xr:uid="{E5CB8DA8-9B65-4807-9A31-AD44D10CF9A4}"/>
    <hyperlink ref="O9:Q9" r:id="rId16" display="suportebeneficios@grupofedcorp.com.br" xr:uid="{3BE65E45-3882-4119-9436-BD1865B87686}"/>
    <hyperlink ref="N10" r:id="rId17" xr:uid="{FECDA92D-4CD3-4B57-AE87-853970859DF5}"/>
    <hyperlink ref="O10:Q10" r:id="rId18" display="suportebeneficios@grupofedcorp.com.br" xr:uid="{5121A751-7899-49D0-91CD-B55FCADF0435}"/>
    <hyperlink ref="N11" r:id="rId19" xr:uid="{2CE28946-74D2-4AA8-9CBB-CF13D9726E5B}"/>
    <hyperlink ref="O11:Q11" r:id="rId20" display="suportebeneficios@grupofedcorp.com.br" xr:uid="{4E803B17-9A7C-48B3-8EA3-9BA1E1581B48}"/>
    <hyperlink ref="N12" r:id="rId21" xr:uid="{4802F424-FADF-48B2-AE0B-63104C066FBD}"/>
    <hyperlink ref="O12:Q12" r:id="rId22" display="suportebeneficios@grupofedcorp.com.br" xr:uid="{1B8140CD-165E-418D-9E7A-2005DA8CE04F}"/>
    <hyperlink ref="N13" r:id="rId23" xr:uid="{7D6F4891-C846-4700-A5AD-C005B279B55F}"/>
    <hyperlink ref="O13:Q13" r:id="rId24" display="suportebeneficios@grupofedcorp.com.br" xr:uid="{FEF761E6-0ACB-479C-AA36-22698964E49D}"/>
    <hyperlink ref="N14" r:id="rId25" xr:uid="{FB1E2148-BA62-4A34-8168-CD5C9D2EAF01}"/>
    <hyperlink ref="O14:Q14" r:id="rId26" display="suportebeneficios@grupofedcorp.com.br" xr:uid="{B7B9141F-4552-4CF6-95A5-C278E1C43822}"/>
  </hyperlinks>
  <pageMargins left="0.511811024" right="0.511811024" top="0.78740157499999996" bottom="0.78740157499999996" header="0.31496062000000002" footer="0.31496062000000002"/>
  <pageSetup orientation="portrait" verticalDpi="0" r:id="rId2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"/>
  <sheetViews>
    <sheetView workbookViewId="0"/>
  </sheetViews>
  <sheetFormatPr defaultColWidth="9.109375" defaultRowHeight="14.4"/>
  <cols>
    <col min="1" max="1" width="43.5546875" style="12" customWidth="1"/>
    <col min="2" max="2" width="68.109375" style="12" customWidth="1"/>
    <col min="3" max="3" width="45.33203125" style="12" customWidth="1"/>
    <col min="4" max="16384" width="9.109375" style="3"/>
  </cols>
  <sheetData>
    <row r="1" spans="1:3" ht="90" customHeight="1">
      <c r="A1" s="19" t="s">
        <v>62</v>
      </c>
      <c r="B1" s="19" t="s">
        <v>63</v>
      </c>
      <c r="C1" s="19" t="s">
        <v>64</v>
      </c>
    </row>
  </sheetData>
  <sheetProtection selectLockedCells="1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R1048"/>
  <sheetViews>
    <sheetView showGridLines="0" tabSelected="1" workbookViewId="0">
      <selection activeCell="A6" sqref="A6:XFD14"/>
    </sheetView>
  </sheetViews>
  <sheetFormatPr defaultColWidth="9.109375" defaultRowHeight="14.4"/>
  <cols>
    <col min="1" max="1" width="14" style="12" customWidth="1"/>
    <col min="2" max="2" width="16" style="12" customWidth="1"/>
    <col min="3" max="3" width="5.109375" style="12" customWidth="1"/>
    <col min="4" max="4" width="39.44140625" style="12" customWidth="1"/>
    <col min="5" max="5" width="41.6640625" style="12" customWidth="1"/>
    <col min="6" max="6" width="4.77734375" style="12" customWidth="1"/>
    <col min="7" max="7" width="17" style="12" customWidth="1"/>
    <col min="8" max="8" width="7.33203125" style="12" customWidth="1"/>
    <col min="9" max="9" width="6.33203125" style="12" customWidth="1"/>
    <col min="10" max="10" width="2.6640625" style="53" hidden="1" customWidth="1"/>
    <col min="11" max="11" width="16.21875" style="90" customWidth="1"/>
    <col min="12" max="12" width="1.109375" style="53" hidden="1" customWidth="1"/>
    <col min="13" max="13" width="1.109375" style="65" hidden="1" customWidth="1"/>
    <col min="14" max="15" width="1.109375" style="53" hidden="1" customWidth="1"/>
    <col min="16" max="19" width="1.109375" style="65" hidden="1" customWidth="1"/>
    <col min="20" max="23" width="1.109375" style="53" hidden="1" customWidth="1"/>
    <col min="24" max="24" width="11.5546875" style="53" bestFit="1" customWidth="1"/>
    <col min="25" max="26" width="5.21875" style="53" customWidth="1"/>
    <col min="27" max="16384" width="9.109375" style="3"/>
  </cols>
  <sheetData>
    <row r="1" spans="1:44" s="5" customFormat="1" ht="26.25" customHeight="1">
      <c r="A1" s="119" t="s">
        <v>179</v>
      </c>
      <c r="B1" s="118" t="s">
        <v>65</v>
      </c>
      <c r="C1" s="118" t="s">
        <v>66</v>
      </c>
      <c r="D1" s="118" t="s">
        <v>67</v>
      </c>
      <c r="E1" s="118" t="s">
        <v>68</v>
      </c>
      <c r="F1" s="118" t="s">
        <v>69</v>
      </c>
      <c r="G1" s="118" t="s">
        <v>70</v>
      </c>
      <c r="H1" s="118" t="s">
        <v>71</v>
      </c>
      <c r="I1" s="118" t="s">
        <v>72</v>
      </c>
      <c r="J1" s="56"/>
      <c r="K1" s="121" t="s">
        <v>73</v>
      </c>
      <c r="L1" s="121"/>
      <c r="M1" s="121"/>
      <c r="N1" s="121"/>
      <c r="O1" s="121"/>
      <c r="P1" s="121"/>
      <c r="Q1" s="121"/>
      <c r="R1" s="57"/>
      <c r="S1" s="58"/>
      <c r="T1" s="122" t="s">
        <v>152</v>
      </c>
      <c r="U1" s="123"/>
      <c r="V1" s="123"/>
      <c r="W1" s="123"/>
      <c r="X1" s="123"/>
      <c r="Y1" s="123"/>
      <c r="Z1" s="124"/>
      <c r="AA1" s="12"/>
      <c r="AB1" s="15"/>
      <c r="AC1" s="15"/>
      <c r="AD1" s="8"/>
      <c r="AE1" s="8"/>
      <c r="AF1" s="8"/>
      <c r="AG1" s="8"/>
      <c r="AH1" s="8"/>
      <c r="AI1" s="8"/>
      <c r="AJ1" s="8"/>
      <c r="AK1" s="8"/>
      <c r="AL1" s="8"/>
    </row>
    <row r="2" spans="1:44" ht="109.2" customHeight="1">
      <c r="A2" s="120"/>
      <c r="B2" s="119"/>
      <c r="C2" s="119"/>
      <c r="D2" s="119"/>
      <c r="E2" s="119"/>
      <c r="F2" s="119"/>
      <c r="G2" s="119"/>
      <c r="H2" s="119"/>
      <c r="I2" s="119"/>
      <c r="J2" s="59" t="s">
        <v>74</v>
      </c>
      <c r="K2" s="89" t="s">
        <v>75</v>
      </c>
      <c r="L2" s="60" t="s">
        <v>76</v>
      </c>
      <c r="M2" s="60" t="s">
        <v>77</v>
      </c>
      <c r="N2" s="60" t="s">
        <v>78</v>
      </c>
      <c r="O2" s="60" t="s">
        <v>79</v>
      </c>
      <c r="P2" s="60" t="s">
        <v>81</v>
      </c>
      <c r="Q2" s="60" t="s">
        <v>80</v>
      </c>
      <c r="R2" s="60" t="s">
        <v>82</v>
      </c>
      <c r="S2" s="61" t="s">
        <v>83</v>
      </c>
      <c r="T2" s="62" t="s">
        <v>153</v>
      </c>
      <c r="U2" s="62" t="s">
        <v>154</v>
      </c>
      <c r="V2" s="62" t="s">
        <v>155</v>
      </c>
      <c r="W2" s="62" t="s">
        <v>156</v>
      </c>
      <c r="X2" s="62" t="s">
        <v>157</v>
      </c>
      <c r="Y2" s="62" t="s">
        <v>158</v>
      </c>
      <c r="Z2" s="62" t="s">
        <v>175</v>
      </c>
    </row>
    <row r="3" spans="1:44">
      <c r="A3" s="96" t="s">
        <v>234</v>
      </c>
      <c r="B3" s="12" t="s">
        <v>231</v>
      </c>
      <c r="D3" s="12" t="s">
        <v>233</v>
      </c>
      <c r="E3" s="42" t="s">
        <v>232</v>
      </c>
      <c r="G3" s="42" t="s">
        <v>235</v>
      </c>
      <c r="M3" s="53"/>
      <c r="P3" s="53"/>
      <c r="Q3" s="53"/>
      <c r="R3" s="53"/>
      <c r="S3" s="53"/>
      <c r="X3" s="53">
        <v>50</v>
      </c>
      <c r="AN3" s="41"/>
      <c r="AP3" s="41"/>
      <c r="AR3" s="41"/>
    </row>
    <row r="4" spans="1:44">
      <c r="A4" s="96" t="s">
        <v>238</v>
      </c>
      <c r="B4" s="12" t="s">
        <v>231</v>
      </c>
      <c r="D4" s="12" t="s">
        <v>233</v>
      </c>
      <c r="E4" s="42" t="s">
        <v>236</v>
      </c>
      <c r="G4" s="42" t="s">
        <v>237</v>
      </c>
      <c r="M4" s="53"/>
      <c r="P4" s="53"/>
      <c r="Q4" s="53"/>
      <c r="R4" s="53"/>
      <c r="S4" s="53"/>
      <c r="X4" s="53">
        <v>75</v>
      </c>
      <c r="AN4" s="41"/>
      <c r="AP4" s="41"/>
      <c r="AR4" s="41"/>
    </row>
    <row r="5" spans="1:44">
      <c r="A5" s="96" t="s">
        <v>239</v>
      </c>
      <c r="B5" s="12" t="s">
        <v>231</v>
      </c>
      <c r="D5" s="12" t="s">
        <v>233</v>
      </c>
      <c r="E5" s="42" t="s">
        <v>240</v>
      </c>
      <c r="G5" s="42" t="s">
        <v>241</v>
      </c>
      <c r="M5" s="53"/>
      <c r="P5" s="53"/>
      <c r="Q5" s="53"/>
      <c r="R5" s="53"/>
      <c r="S5" s="53"/>
      <c r="X5" s="53">
        <v>25</v>
      </c>
      <c r="AN5" s="41"/>
      <c r="AP5" s="41"/>
      <c r="AR5" s="41"/>
    </row>
    <row r="6" spans="1:44">
      <c r="A6" s="1"/>
      <c r="E6" s="42"/>
      <c r="G6" s="42"/>
      <c r="M6" s="53"/>
      <c r="P6" s="53"/>
      <c r="Q6" s="53"/>
      <c r="R6" s="53"/>
      <c r="S6" s="53"/>
      <c r="AN6" s="41"/>
      <c r="AP6" s="41"/>
      <c r="AR6" s="41"/>
    </row>
    <row r="7" spans="1:44">
      <c r="A7" s="1"/>
      <c r="E7" s="42"/>
      <c r="G7" s="42"/>
      <c r="M7" s="53"/>
      <c r="P7" s="53"/>
      <c r="Q7" s="53"/>
      <c r="R7" s="53"/>
      <c r="S7" s="53"/>
      <c r="AN7" s="41"/>
      <c r="AP7" s="41"/>
      <c r="AR7" s="41"/>
    </row>
    <row r="8" spans="1:44">
      <c r="A8" s="1"/>
      <c r="E8" s="42"/>
      <c r="G8" s="42"/>
      <c r="M8" s="53"/>
      <c r="P8" s="53"/>
      <c r="Q8" s="53"/>
      <c r="R8" s="53"/>
      <c r="S8" s="53"/>
      <c r="AN8" s="41"/>
      <c r="AP8" s="41"/>
      <c r="AR8" s="41"/>
    </row>
    <row r="9" spans="1:44">
      <c r="A9" s="1"/>
      <c r="E9" s="42"/>
      <c r="G9" s="42"/>
      <c r="M9" s="53"/>
      <c r="P9" s="53"/>
      <c r="Q9" s="53"/>
      <c r="R9" s="53"/>
      <c r="S9" s="53"/>
      <c r="X9" s="63"/>
      <c r="AN9" s="41"/>
      <c r="AP9" s="41"/>
      <c r="AR9" s="41"/>
    </row>
    <row r="10" spans="1:44">
      <c r="A10" s="1"/>
      <c r="E10" s="42"/>
      <c r="G10" s="42"/>
      <c r="M10" s="53"/>
      <c r="P10" s="53"/>
      <c r="Q10" s="53"/>
      <c r="R10" s="53"/>
      <c r="S10" s="53"/>
      <c r="AN10" s="41"/>
      <c r="AP10" s="41"/>
      <c r="AR10" s="41"/>
    </row>
    <row r="11" spans="1:44">
      <c r="A11" s="1"/>
      <c r="E11" s="42"/>
      <c r="G11" s="42"/>
      <c r="M11" s="53"/>
      <c r="P11" s="53"/>
      <c r="Q11" s="53"/>
      <c r="R11" s="53"/>
      <c r="S11" s="53"/>
      <c r="AN11" s="41"/>
      <c r="AP11" s="41"/>
      <c r="AR11" s="41"/>
    </row>
    <row r="12" spans="1:44">
      <c r="A12" s="1"/>
      <c r="E12" s="42"/>
      <c r="G12" s="42"/>
      <c r="M12" s="53"/>
      <c r="P12" s="53"/>
      <c r="Q12" s="53"/>
      <c r="R12" s="53"/>
      <c r="S12" s="53"/>
      <c r="AN12" s="41"/>
      <c r="AP12" s="41"/>
      <c r="AR12" s="41"/>
    </row>
    <row r="13" spans="1:44">
      <c r="A13" s="1"/>
      <c r="E13" s="42"/>
      <c r="G13" s="54"/>
      <c r="M13" s="53"/>
      <c r="P13" s="53"/>
      <c r="Q13" s="53"/>
      <c r="R13" s="53"/>
      <c r="S13" s="53"/>
      <c r="AN13" s="41"/>
      <c r="AP13" s="41"/>
      <c r="AR13" s="41"/>
    </row>
    <row r="14" spans="1:44">
      <c r="A14" s="1"/>
      <c r="E14" s="42"/>
      <c r="G14" s="42"/>
      <c r="M14" s="53"/>
      <c r="P14" s="53"/>
      <c r="Q14" s="53"/>
      <c r="R14" s="53"/>
      <c r="S14" s="53"/>
      <c r="X14" s="63"/>
      <c r="AN14" s="41"/>
      <c r="AP14" s="41"/>
      <c r="AR14" s="41"/>
    </row>
    <row r="15" spans="1:44">
      <c r="A15" s="1"/>
      <c r="E15" s="42"/>
      <c r="G15" s="42"/>
      <c r="M15" s="53"/>
      <c r="P15" s="53"/>
      <c r="Q15" s="53"/>
      <c r="R15" s="53"/>
      <c r="S15" s="53"/>
      <c r="AN15" s="41"/>
      <c r="AP15" s="41"/>
      <c r="AR15" s="41"/>
    </row>
    <row r="16" spans="1:44">
      <c r="A16" s="1"/>
      <c r="E16" s="42"/>
      <c r="G16" s="42"/>
      <c r="M16" s="53"/>
      <c r="P16" s="53"/>
      <c r="Q16" s="53"/>
      <c r="R16" s="53"/>
      <c r="S16" s="53"/>
      <c r="AN16" s="41"/>
      <c r="AP16" s="41"/>
      <c r="AR16" s="41"/>
    </row>
    <row r="17" spans="1:44">
      <c r="A17" s="1"/>
      <c r="E17" s="42"/>
      <c r="G17" s="42"/>
      <c r="M17" s="53"/>
      <c r="P17" s="53"/>
      <c r="Q17" s="53"/>
      <c r="R17" s="53"/>
      <c r="S17" s="53"/>
      <c r="X17" s="63"/>
      <c r="AN17" s="41"/>
      <c r="AP17" s="41"/>
      <c r="AR17" s="41"/>
    </row>
    <row r="18" spans="1:44">
      <c r="A18" s="1"/>
      <c r="E18" s="42"/>
      <c r="G18" s="42"/>
      <c r="M18" s="53"/>
      <c r="P18" s="53"/>
      <c r="Q18" s="53"/>
      <c r="R18" s="53"/>
      <c r="S18" s="53"/>
      <c r="AN18" s="41"/>
      <c r="AP18" s="41"/>
      <c r="AR18" s="41"/>
    </row>
    <row r="19" spans="1:44">
      <c r="A19" s="1"/>
      <c r="E19" s="42"/>
      <c r="G19" s="42"/>
      <c r="M19" s="53"/>
      <c r="P19" s="53"/>
      <c r="Q19" s="53"/>
      <c r="R19" s="53"/>
      <c r="S19" s="53"/>
      <c r="AN19" s="41"/>
      <c r="AP19" s="41"/>
      <c r="AR19" s="41"/>
    </row>
    <row r="20" spans="1:44">
      <c r="A20" s="1"/>
      <c r="E20" s="42"/>
      <c r="G20" s="42"/>
      <c r="M20" s="53"/>
      <c r="P20" s="53"/>
      <c r="Q20" s="53"/>
      <c r="R20" s="53"/>
      <c r="S20" s="53"/>
      <c r="X20" s="63"/>
      <c r="AN20" s="41"/>
      <c r="AP20" s="41"/>
      <c r="AR20" s="41"/>
    </row>
    <row r="21" spans="1:44">
      <c r="A21" s="1"/>
      <c r="E21" s="42"/>
      <c r="G21" s="42"/>
      <c r="M21" s="53"/>
      <c r="P21" s="53"/>
      <c r="Q21" s="53"/>
      <c r="R21" s="53"/>
      <c r="S21" s="53"/>
      <c r="AN21" s="41"/>
      <c r="AP21" s="41"/>
      <c r="AR21" s="41"/>
    </row>
    <row r="22" spans="1:44">
      <c r="A22" s="1"/>
      <c r="E22" s="42"/>
      <c r="G22" s="42"/>
      <c r="M22" s="53"/>
      <c r="P22" s="53"/>
      <c r="Q22" s="53"/>
      <c r="R22" s="53"/>
      <c r="S22" s="53"/>
      <c r="AN22" s="41"/>
      <c r="AP22" s="41"/>
      <c r="AR22" s="41"/>
    </row>
    <row r="23" spans="1:44">
      <c r="A23" s="1"/>
      <c r="E23" s="42"/>
      <c r="G23" s="42"/>
      <c r="M23" s="53"/>
      <c r="P23" s="53"/>
      <c r="Q23" s="53"/>
      <c r="R23" s="53"/>
      <c r="S23" s="53"/>
      <c r="AN23" s="41"/>
      <c r="AP23" s="41"/>
      <c r="AR23" s="41"/>
    </row>
    <row r="24" spans="1:44">
      <c r="A24" s="1"/>
      <c r="E24" s="42"/>
      <c r="G24" s="42"/>
      <c r="M24" s="53"/>
      <c r="P24" s="53"/>
      <c r="Q24" s="53"/>
      <c r="R24" s="53"/>
      <c r="S24" s="53"/>
      <c r="AN24" s="41"/>
      <c r="AP24" s="41"/>
      <c r="AR24" s="41"/>
    </row>
    <row r="25" spans="1:44">
      <c r="A25" s="1"/>
      <c r="E25" s="42"/>
      <c r="G25" s="42"/>
      <c r="M25" s="53"/>
      <c r="P25" s="53"/>
      <c r="Q25" s="53"/>
      <c r="R25" s="53"/>
      <c r="S25" s="53"/>
      <c r="AN25" s="41"/>
      <c r="AP25" s="41"/>
      <c r="AR25" s="41"/>
    </row>
    <row r="26" spans="1:44">
      <c r="A26" s="1"/>
      <c r="E26" s="42"/>
      <c r="G26" s="42"/>
      <c r="M26" s="53"/>
      <c r="P26" s="53"/>
      <c r="Q26" s="53"/>
      <c r="R26" s="53"/>
      <c r="S26" s="53"/>
      <c r="AN26" s="41"/>
      <c r="AP26" s="41"/>
      <c r="AR26" s="41"/>
    </row>
    <row r="27" spans="1:44">
      <c r="A27" s="1"/>
      <c r="E27" s="42"/>
      <c r="G27" s="42"/>
      <c r="M27" s="53"/>
      <c r="P27" s="53"/>
      <c r="Q27" s="53"/>
      <c r="R27" s="53"/>
      <c r="S27" s="53"/>
      <c r="AN27" s="41"/>
      <c r="AP27" s="41"/>
      <c r="AR27" s="41"/>
    </row>
    <row r="28" spans="1:44">
      <c r="A28" s="1"/>
      <c r="E28" s="42"/>
      <c r="G28" s="42"/>
      <c r="M28" s="53"/>
      <c r="P28" s="53"/>
      <c r="Q28" s="53"/>
      <c r="R28" s="53"/>
      <c r="S28" s="53"/>
      <c r="AN28" s="41"/>
      <c r="AP28" s="41"/>
      <c r="AR28" s="41"/>
    </row>
    <row r="29" spans="1:44">
      <c r="A29" s="1"/>
      <c r="E29" s="42"/>
      <c r="G29" s="42"/>
      <c r="M29" s="53"/>
      <c r="P29" s="53"/>
      <c r="Q29" s="53"/>
      <c r="R29" s="53"/>
      <c r="S29" s="53"/>
      <c r="AN29" s="41"/>
      <c r="AP29" s="41"/>
      <c r="AR29" s="41"/>
    </row>
    <row r="30" spans="1:44">
      <c r="A30" s="1"/>
      <c r="E30" s="42"/>
      <c r="G30" s="42"/>
      <c r="M30" s="53"/>
      <c r="P30" s="53"/>
      <c r="Q30" s="53"/>
      <c r="R30" s="53"/>
      <c r="S30" s="53"/>
      <c r="X30" s="63"/>
      <c r="AN30" s="41"/>
      <c r="AP30" s="41"/>
      <c r="AR30" s="41"/>
    </row>
    <row r="31" spans="1:44">
      <c r="A31" s="1"/>
      <c r="E31" s="42"/>
      <c r="G31" s="42"/>
      <c r="M31" s="53"/>
      <c r="P31" s="53"/>
      <c r="Q31" s="53"/>
      <c r="R31" s="53"/>
      <c r="S31" s="53"/>
      <c r="AN31" s="41"/>
      <c r="AP31" s="41"/>
      <c r="AR31" s="41"/>
    </row>
    <row r="32" spans="1:44">
      <c r="A32" s="1"/>
      <c r="E32" s="42"/>
      <c r="G32" s="42"/>
      <c r="M32" s="53"/>
      <c r="P32" s="53"/>
      <c r="Q32" s="53"/>
      <c r="R32" s="53"/>
      <c r="S32" s="53"/>
      <c r="AN32" s="41"/>
      <c r="AP32" s="41"/>
      <c r="AR32" s="41"/>
    </row>
    <row r="33" spans="1:44">
      <c r="A33" s="1"/>
      <c r="E33" s="42"/>
      <c r="G33" s="42"/>
      <c r="M33" s="53"/>
      <c r="P33" s="53"/>
      <c r="Q33" s="53"/>
      <c r="R33" s="53"/>
      <c r="S33" s="53"/>
      <c r="AN33" s="41"/>
      <c r="AP33" s="41"/>
      <c r="AR33" s="41"/>
    </row>
    <row r="34" spans="1:44">
      <c r="A34" s="1"/>
      <c r="E34" s="42"/>
      <c r="G34" s="42"/>
      <c r="M34" s="53"/>
      <c r="P34" s="53"/>
      <c r="Q34" s="53"/>
      <c r="R34" s="53"/>
      <c r="S34" s="53"/>
      <c r="X34" s="63"/>
      <c r="AN34" s="41"/>
      <c r="AP34" s="41"/>
      <c r="AR34" s="41"/>
    </row>
    <row r="35" spans="1:44">
      <c r="A35" s="1"/>
      <c r="E35" s="42"/>
      <c r="G35" s="42"/>
      <c r="M35" s="53"/>
      <c r="P35" s="53"/>
      <c r="Q35" s="53"/>
      <c r="R35" s="53"/>
      <c r="S35" s="53"/>
      <c r="AN35" s="41"/>
      <c r="AP35" s="41"/>
      <c r="AR35" s="41"/>
    </row>
    <row r="36" spans="1:44">
      <c r="A36" s="1"/>
      <c r="E36" s="42"/>
      <c r="G36" s="42"/>
      <c r="M36" s="53"/>
      <c r="P36" s="53"/>
      <c r="Q36" s="53"/>
      <c r="R36" s="53"/>
      <c r="S36" s="53"/>
      <c r="AN36" s="41"/>
      <c r="AP36" s="41"/>
      <c r="AR36" s="41"/>
    </row>
    <row r="37" spans="1:44">
      <c r="A37" s="1"/>
      <c r="E37" s="42"/>
      <c r="G37" s="42"/>
      <c r="M37" s="53"/>
      <c r="P37" s="53"/>
      <c r="Q37" s="53"/>
      <c r="R37" s="53"/>
      <c r="S37" s="53"/>
      <c r="AN37" s="41"/>
      <c r="AP37" s="41"/>
      <c r="AR37" s="41"/>
    </row>
    <row r="38" spans="1:44">
      <c r="A38" s="1"/>
      <c r="E38" s="42"/>
      <c r="G38" s="42"/>
      <c r="M38" s="53"/>
      <c r="P38" s="53"/>
      <c r="Q38" s="53"/>
      <c r="R38" s="53"/>
      <c r="S38" s="53"/>
      <c r="AN38" s="41"/>
      <c r="AP38" s="41"/>
      <c r="AR38" s="41"/>
    </row>
    <row r="39" spans="1:44">
      <c r="A39" s="1"/>
      <c r="E39" s="42"/>
      <c r="G39" s="42"/>
      <c r="M39" s="53"/>
      <c r="P39" s="53"/>
      <c r="Q39" s="53"/>
      <c r="R39" s="53"/>
      <c r="S39" s="53"/>
      <c r="AN39" s="41"/>
      <c r="AP39" s="41"/>
      <c r="AR39" s="41"/>
    </row>
    <row r="40" spans="1:44">
      <c r="A40" s="1"/>
      <c r="E40" s="42"/>
      <c r="G40" s="42"/>
      <c r="M40" s="53"/>
      <c r="P40" s="53"/>
      <c r="Q40" s="53"/>
      <c r="R40" s="53"/>
      <c r="S40" s="53"/>
      <c r="AN40" s="41"/>
      <c r="AP40" s="41"/>
      <c r="AR40" s="41"/>
    </row>
    <row r="41" spans="1:44">
      <c r="A41" s="1"/>
      <c r="E41" s="42"/>
      <c r="G41" s="42"/>
      <c r="M41" s="53"/>
      <c r="P41" s="53"/>
      <c r="Q41" s="53"/>
      <c r="R41" s="53"/>
      <c r="S41" s="53"/>
      <c r="AN41" s="41"/>
      <c r="AP41" s="41"/>
      <c r="AR41" s="41"/>
    </row>
    <row r="42" spans="1:44">
      <c r="A42" s="1"/>
      <c r="E42" s="42"/>
      <c r="G42" s="42"/>
      <c r="M42" s="53"/>
      <c r="P42" s="53"/>
      <c r="Q42" s="53"/>
      <c r="R42" s="53"/>
      <c r="S42" s="53"/>
      <c r="AN42" s="41"/>
      <c r="AP42" s="41"/>
      <c r="AR42" s="41"/>
    </row>
    <row r="43" spans="1:44">
      <c r="A43" s="1"/>
      <c r="E43" s="42"/>
      <c r="G43" s="42"/>
      <c r="M43" s="53"/>
      <c r="P43" s="53"/>
      <c r="Q43" s="53"/>
      <c r="R43" s="53"/>
      <c r="S43" s="53"/>
      <c r="AN43" s="41"/>
      <c r="AP43" s="41"/>
      <c r="AR43" s="41"/>
    </row>
    <row r="44" spans="1:44">
      <c r="A44" s="1"/>
      <c r="E44" s="42"/>
      <c r="G44" s="55"/>
      <c r="M44" s="53"/>
      <c r="P44" s="53"/>
      <c r="Q44" s="53"/>
      <c r="R44" s="53"/>
      <c r="S44" s="53"/>
      <c r="AN44" s="41"/>
      <c r="AP44" s="41"/>
      <c r="AR44" s="41"/>
    </row>
    <row r="45" spans="1:44">
      <c r="A45" s="1"/>
      <c r="E45" s="42"/>
      <c r="G45" s="42"/>
      <c r="M45" s="53"/>
      <c r="P45" s="53"/>
      <c r="Q45" s="53"/>
      <c r="R45" s="53"/>
      <c r="S45" s="53"/>
      <c r="AN45" s="41"/>
      <c r="AP45" s="41"/>
      <c r="AR45" s="41"/>
    </row>
    <row r="46" spans="1:44">
      <c r="A46" s="1"/>
      <c r="E46" s="42"/>
      <c r="F46" s="42"/>
      <c r="G46" s="55"/>
      <c r="M46" s="53"/>
      <c r="P46" s="53"/>
      <c r="Q46" s="53"/>
      <c r="R46" s="53"/>
      <c r="S46" s="53"/>
      <c r="AN46" s="41"/>
      <c r="AP46" s="41"/>
      <c r="AR46" s="41"/>
    </row>
    <row r="47" spans="1:44">
      <c r="A47" s="1"/>
      <c r="E47" s="42"/>
      <c r="G47" s="42"/>
      <c r="M47" s="53"/>
      <c r="P47" s="53"/>
      <c r="Q47" s="53"/>
      <c r="R47" s="53"/>
      <c r="S47" s="53"/>
      <c r="AN47" s="41"/>
      <c r="AP47" s="41"/>
      <c r="AR47" s="41"/>
    </row>
    <row r="48" spans="1:44">
      <c r="A48" s="1"/>
      <c r="E48" s="42"/>
      <c r="G48" s="42"/>
      <c r="M48" s="53"/>
      <c r="P48" s="53"/>
      <c r="Q48" s="53"/>
      <c r="R48" s="53"/>
      <c r="S48" s="53"/>
      <c r="AN48" s="41"/>
      <c r="AP48" s="41"/>
      <c r="AR48" s="41"/>
    </row>
    <row r="49" spans="1:44">
      <c r="A49" s="92"/>
      <c r="E49" s="42"/>
      <c r="G49" s="42"/>
      <c r="M49" s="53"/>
      <c r="P49" s="53"/>
      <c r="Q49" s="53"/>
      <c r="R49" s="53"/>
      <c r="S49" s="53"/>
      <c r="X49" s="63"/>
      <c r="AN49" s="41"/>
      <c r="AP49" s="41"/>
      <c r="AR49" s="41"/>
    </row>
    <row r="50" spans="1:44">
      <c r="A50" s="1"/>
      <c r="E50" s="52"/>
      <c r="G50" s="42"/>
      <c r="K50" s="81"/>
      <c r="M50" s="53"/>
      <c r="P50" s="53"/>
      <c r="Q50" s="53"/>
      <c r="R50" s="53"/>
      <c r="S50" s="53"/>
      <c r="X50" s="63"/>
      <c r="AN50" s="41"/>
      <c r="AP50" s="41"/>
      <c r="AR50" s="41"/>
    </row>
    <row r="51" spans="1:44">
      <c r="A51" s="1"/>
      <c r="E51" s="42"/>
      <c r="G51" s="42"/>
      <c r="M51" s="53"/>
      <c r="P51" s="53"/>
      <c r="Q51" s="53"/>
      <c r="R51" s="53"/>
      <c r="S51" s="53"/>
      <c r="X51" s="63"/>
      <c r="AN51" s="41"/>
      <c r="AP51" s="41"/>
      <c r="AR51" s="41"/>
    </row>
    <row r="52" spans="1:44">
      <c r="A52" s="1"/>
      <c r="E52" s="42"/>
      <c r="G52" s="42"/>
      <c r="M52" s="53"/>
      <c r="P52" s="53"/>
      <c r="Q52" s="53"/>
      <c r="R52" s="53"/>
      <c r="S52" s="53"/>
      <c r="AN52" s="41"/>
      <c r="AP52" s="41"/>
      <c r="AR52" s="41"/>
    </row>
    <row r="53" spans="1:44">
      <c r="A53" s="1"/>
      <c r="E53" s="42"/>
      <c r="G53" s="42"/>
      <c r="M53" s="53"/>
      <c r="P53" s="53"/>
      <c r="Q53" s="53"/>
      <c r="R53" s="53"/>
      <c r="S53" s="53"/>
      <c r="AN53" s="41"/>
      <c r="AP53" s="41"/>
      <c r="AR53" s="41"/>
    </row>
    <row r="54" spans="1:44">
      <c r="A54" s="1"/>
      <c r="E54" s="42"/>
      <c r="G54" s="42"/>
      <c r="M54" s="53"/>
      <c r="P54" s="53"/>
      <c r="Q54" s="53"/>
      <c r="R54" s="53"/>
      <c r="S54" s="53"/>
      <c r="AN54" s="41"/>
      <c r="AP54" s="41"/>
      <c r="AR54" s="41"/>
    </row>
    <row r="55" spans="1:44">
      <c r="A55" s="1"/>
      <c r="E55" s="42"/>
      <c r="G55" s="42"/>
      <c r="M55" s="53"/>
      <c r="P55" s="53"/>
      <c r="Q55" s="53"/>
      <c r="R55" s="53"/>
      <c r="S55" s="53"/>
      <c r="X55" s="63"/>
      <c r="AN55" s="41"/>
      <c r="AP55" s="41"/>
      <c r="AR55" s="41"/>
    </row>
    <row r="56" spans="1:44">
      <c r="A56" s="1"/>
      <c r="E56" s="42"/>
      <c r="G56" s="42"/>
      <c r="M56" s="53"/>
      <c r="P56" s="53"/>
      <c r="Q56" s="53"/>
      <c r="R56" s="53"/>
      <c r="S56" s="53"/>
      <c r="X56" s="63"/>
      <c r="AN56" s="41"/>
      <c r="AP56" s="41"/>
      <c r="AR56" s="41"/>
    </row>
    <row r="57" spans="1:44">
      <c r="A57" s="1"/>
      <c r="E57" s="42"/>
      <c r="G57" s="42"/>
      <c r="M57" s="53"/>
      <c r="P57" s="53"/>
      <c r="Q57" s="53"/>
      <c r="R57" s="53"/>
      <c r="S57" s="53"/>
      <c r="AN57" s="41"/>
      <c r="AP57" s="41"/>
      <c r="AR57" s="41"/>
    </row>
    <row r="58" spans="1:44">
      <c r="A58" s="1"/>
      <c r="E58" s="42"/>
      <c r="G58" s="42"/>
      <c r="M58" s="53"/>
      <c r="P58" s="53"/>
      <c r="Q58" s="53"/>
      <c r="R58" s="53"/>
      <c r="S58" s="53"/>
      <c r="AN58" s="41"/>
      <c r="AP58" s="41"/>
      <c r="AR58" s="41"/>
    </row>
    <row r="59" spans="1:44">
      <c r="A59" s="1"/>
      <c r="E59" s="42"/>
      <c r="G59" s="42"/>
      <c r="M59" s="53"/>
      <c r="P59" s="53"/>
      <c r="Q59" s="53"/>
      <c r="R59" s="53"/>
      <c r="S59" s="53"/>
      <c r="AN59" s="41"/>
      <c r="AP59" s="41"/>
      <c r="AR59" s="41"/>
    </row>
    <row r="60" spans="1:44">
      <c r="A60" s="1"/>
      <c r="E60" s="42"/>
      <c r="G60" s="42"/>
      <c r="M60" s="53"/>
      <c r="P60" s="53"/>
      <c r="Q60" s="53"/>
      <c r="R60" s="53"/>
      <c r="S60" s="53"/>
      <c r="AN60" s="41"/>
      <c r="AP60" s="41"/>
      <c r="AR60" s="41"/>
    </row>
    <row r="61" spans="1:44">
      <c r="A61" s="1"/>
      <c r="E61" s="42"/>
      <c r="G61" s="42"/>
      <c r="M61" s="53"/>
      <c r="P61" s="53"/>
      <c r="Q61" s="53"/>
      <c r="R61" s="53"/>
      <c r="S61" s="53"/>
      <c r="AN61" s="41"/>
      <c r="AP61" s="41"/>
      <c r="AR61" s="41"/>
    </row>
    <row r="62" spans="1:44">
      <c r="A62" s="1"/>
      <c r="E62" s="42"/>
      <c r="G62" s="42"/>
      <c r="M62" s="53"/>
      <c r="P62" s="53"/>
      <c r="Q62" s="53"/>
      <c r="R62" s="53"/>
      <c r="S62" s="53"/>
      <c r="AN62" s="41"/>
      <c r="AP62" s="41"/>
      <c r="AR62" s="41"/>
    </row>
    <row r="63" spans="1:44">
      <c r="A63" s="1"/>
      <c r="E63" s="42"/>
      <c r="G63" s="42"/>
      <c r="M63" s="53"/>
      <c r="P63" s="53"/>
      <c r="Q63" s="53"/>
      <c r="R63" s="53"/>
      <c r="S63" s="53"/>
      <c r="AN63" s="41"/>
      <c r="AP63" s="41"/>
      <c r="AR63" s="41"/>
    </row>
    <row r="64" spans="1:44">
      <c r="A64" s="1"/>
      <c r="E64" s="42"/>
      <c r="G64" s="42"/>
      <c r="M64" s="53"/>
      <c r="P64" s="53"/>
      <c r="Q64" s="53"/>
      <c r="R64" s="53"/>
      <c r="S64" s="53"/>
      <c r="X64" s="63"/>
      <c r="AN64" s="41"/>
      <c r="AP64" s="41"/>
      <c r="AR64" s="41"/>
    </row>
    <row r="65" spans="1:44">
      <c r="A65" s="1"/>
      <c r="E65" s="42"/>
      <c r="G65" s="42"/>
      <c r="M65" s="53"/>
      <c r="P65" s="53"/>
      <c r="Q65" s="53"/>
      <c r="R65" s="53"/>
      <c r="S65" s="53"/>
      <c r="AN65" s="41"/>
      <c r="AP65" s="41"/>
      <c r="AR65" s="41"/>
    </row>
    <row r="66" spans="1:44">
      <c r="A66" s="1"/>
      <c r="E66" s="42"/>
      <c r="G66" s="42"/>
      <c r="M66" s="53"/>
      <c r="P66" s="53"/>
      <c r="Q66" s="53"/>
      <c r="R66" s="53"/>
      <c r="S66" s="53"/>
      <c r="X66" s="63"/>
      <c r="AN66" s="41"/>
      <c r="AP66" s="41"/>
      <c r="AR66" s="41"/>
    </row>
    <row r="67" spans="1:44">
      <c r="A67" s="1"/>
      <c r="E67" s="42"/>
      <c r="G67" s="42"/>
      <c r="M67" s="53"/>
      <c r="P67" s="53"/>
      <c r="Q67" s="53"/>
      <c r="R67" s="53"/>
      <c r="S67" s="53"/>
      <c r="AN67" s="41"/>
      <c r="AP67" s="41"/>
      <c r="AR67" s="41"/>
    </row>
    <row r="68" spans="1:44">
      <c r="A68" s="1"/>
      <c r="E68" s="42"/>
      <c r="G68" s="42"/>
      <c r="M68" s="53"/>
      <c r="P68" s="53"/>
      <c r="Q68" s="53"/>
      <c r="R68" s="53"/>
      <c r="S68" s="53"/>
      <c r="AN68" s="41"/>
      <c r="AP68" s="41"/>
      <c r="AR68" s="41"/>
    </row>
    <row r="69" spans="1:44">
      <c r="A69" s="1"/>
      <c r="E69" s="42"/>
      <c r="G69" s="42"/>
      <c r="M69" s="53"/>
      <c r="P69" s="53"/>
      <c r="Q69" s="53"/>
      <c r="R69" s="53"/>
      <c r="S69" s="53"/>
      <c r="AN69" s="41"/>
      <c r="AP69" s="41"/>
      <c r="AR69" s="41"/>
    </row>
    <row r="70" spans="1:44">
      <c r="A70" s="1"/>
      <c r="E70" s="42"/>
      <c r="G70" s="42"/>
      <c r="M70" s="53"/>
      <c r="P70" s="53"/>
      <c r="Q70" s="53"/>
      <c r="R70" s="53"/>
      <c r="S70" s="53"/>
      <c r="X70" s="63"/>
      <c r="AN70" s="41"/>
      <c r="AP70" s="41"/>
      <c r="AR70" s="41"/>
    </row>
    <row r="71" spans="1:44">
      <c r="A71" s="1"/>
      <c r="E71" s="42"/>
      <c r="G71" s="42"/>
      <c r="M71" s="53"/>
      <c r="P71" s="53"/>
      <c r="Q71" s="53"/>
      <c r="R71" s="53"/>
      <c r="S71" s="53"/>
      <c r="AN71" s="41"/>
      <c r="AP71" s="41"/>
      <c r="AR71" s="41"/>
    </row>
    <row r="72" spans="1:44">
      <c r="A72" s="1"/>
      <c r="E72" s="42"/>
      <c r="G72" s="42"/>
      <c r="M72" s="53"/>
      <c r="P72" s="53"/>
      <c r="Q72" s="53"/>
      <c r="R72" s="53"/>
      <c r="S72" s="53"/>
      <c r="X72" s="63"/>
      <c r="AN72" s="41"/>
      <c r="AP72" s="41"/>
      <c r="AR72" s="41"/>
    </row>
    <row r="73" spans="1:44">
      <c r="A73" s="1"/>
      <c r="E73" s="42"/>
      <c r="G73" s="42"/>
      <c r="M73" s="53"/>
      <c r="P73" s="53"/>
      <c r="Q73" s="53"/>
      <c r="R73" s="53"/>
      <c r="S73" s="53"/>
      <c r="AN73" s="41"/>
      <c r="AP73" s="41"/>
      <c r="AR73" s="41"/>
    </row>
    <row r="74" spans="1:44">
      <c r="A74" s="1"/>
      <c r="E74" s="42"/>
      <c r="G74" s="42"/>
      <c r="M74" s="53"/>
      <c r="P74" s="53"/>
      <c r="Q74" s="53"/>
      <c r="R74" s="53"/>
      <c r="S74" s="53"/>
      <c r="AN74" s="41"/>
      <c r="AP74" s="41"/>
      <c r="AR74" s="41"/>
    </row>
    <row r="75" spans="1:44">
      <c r="A75" s="1"/>
      <c r="E75" s="42"/>
      <c r="G75" s="42"/>
      <c r="M75" s="53"/>
      <c r="P75" s="53"/>
      <c r="Q75" s="53"/>
      <c r="R75" s="53"/>
      <c r="S75" s="53"/>
      <c r="AN75" s="41"/>
      <c r="AP75" s="41"/>
      <c r="AR75" s="41"/>
    </row>
    <row r="76" spans="1:44">
      <c r="A76" s="1"/>
      <c r="E76" s="42"/>
      <c r="G76" s="42"/>
      <c r="M76" s="53"/>
      <c r="P76" s="53"/>
      <c r="Q76" s="53"/>
      <c r="R76" s="53"/>
      <c r="S76" s="53"/>
      <c r="AN76" s="41"/>
      <c r="AP76" s="41"/>
      <c r="AR76" s="41"/>
    </row>
    <row r="77" spans="1:44">
      <c r="A77" s="1"/>
      <c r="E77" s="42"/>
      <c r="G77" s="42"/>
      <c r="M77" s="53"/>
      <c r="P77" s="53"/>
      <c r="Q77" s="53"/>
      <c r="R77" s="53"/>
      <c r="S77" s="53"/>
      <c r="AN77" s="41"/>
      <c r="AP77" s="41"/>
      <c r="AR77" s="41"/>
    </row>
    <row r="78" spans="1:44">
      <c r="A78" s="1"/>
      <c r="E78" s="42"/>
      <c r="G78" s="42"/>
      <c r="M78" s="53"/>
      <c r="P78" s="53"/>
      <c r="Q78" s="53"/>
      <c r="R78" s="53"/>
      <c r="S78" s="53"/>
      <c r="AN78" s="41"/>
      <c r="AP78" s="41"/>
      <c r="AR78" s="41"/>
    </row>
    <row r="79" spans="1:44">
      <c r="A79" s="1"/>
      <c r="E79" s="42"/>
      <c r="G79" s="42"/>
      <c r="M79" s="53"/>
      <c r="P79" s="53"/>
      <c r="Q79" s="53"/>
      <c r="R79" s="53"/>
      <c r="S79" s="53"/>
      <c r="AN79" s="41"/>
      <c r="AP79" s="41"/>
      <c r="AR79" s="41"/>
    </row>
    <row r="80" spans="1:44">
      <c r="A80" s="1"/>
      <c r="E80" s="42"/>
      <c r="G80" s="42"/>
      <c r="M80" s="53"/>
      <c r="P80" s="53"/>
      <c r="Q80" s="53"/>
      <c r="R80" s="53"/>
      <c r="S80" s="53"/>
      <c r="AN80" s="41"/>
      <c r="AP80" s="41"/>
      <c r="AR80" s="41"/>
    </row>
    <row r="81" spans="1:44">
      <c r="A81" s="1"/>
      <c r="E81" s="42"/>
      <c r="G81" s="42"/>
      <c r="M81" s="53"/>
      <c r="P81" s="53"/>
      <c r="Q81" s="53"/>
      <c r="R81" s="53"/>
      <c r="S81" s="53"/>
      <c r="AN81" s="41"/>
      <c r="AP81" s="41"/>
      <c r="AR81" s="41"/>
    </row>
    <row r="82" spans="1:44">
      <c r="A82" s="1"/>
      <c r="E82" s="42"/>
      <c r="G82" s="42"/>
      <c r="M82" s="53"/>
      <c r="P82" s="53"/>
      <c r="Q82" s="53"/>
      <c r="R82" s="53"/>
      <c r="S82" s="53"/>
      <c r="X82" s="63"/>
      <c r="AN82" s="41"/>
      <c r="AP82" s="41"/>
      <c r="AR82" s="41"/>
    </row>
    <row r="83" spans="1:44">
      <c r="A83" s="1"/>
      <c r="E83" s="42"/>
      <c r="G83" s="42"/>
      <c r="M83" s="53"/>
      <c r="P83" s="53"/>
      <c r="Q83" s="53"/>
      <c r="R83" s="53"/>
      <c r="S83" s="53"/>
      <c r="AN83" s="41"/>
      <c r="AP83" s="41"/>
      <c r="AR83" s="41"/>
    </row>
    <row r="84" spans="1:44">
      <c r="A84" s="1"/>
      <c r="E84" s="42"/>
      <c r="G84" s="42"/>
      <c r="M84" s="53"/>
      <c r="P84" s="53"/>
      <c r="Q84" s="53"/>
      <c r="R84" s="53"/>
      <c r="S84" s="53"/>
      <c r="X84" s="63"/>
      <c r="AN84" s="41"/>
      <c r="AP84" s="41"/>
      <c r="AR84" s="41"/>
    </row>
    <row r="85" spans="1:44">
      <c r="A85" s="1"/>
      <c r="E85" s="42"/>
      <c r="G85" s="42"/>
      <c r="M85" s="53"/>
      <c r="P85" s="53"/>
      <c r="Q85" s="53"/>
      <c r="R85" s="53"/>
      <c r="S85" s="53"/>
      <c r="AN85" s="41"/>
      <c r="AP85" s="41"/>
      <c r="AR85" s="41"/>
    </row>
    <row r="86" spans="1:44">
      <c r="A86" s="1"/>
      <c r="E86" s="42"/>
      <c r="G86" s="42"/>
      <c r="M86" s="53"/>
      <c r="P86" s="53"/>
      <c r="Q86" s="53"/>
      <c r="R86" s="53"/>
      <c r="S86" s="53"/>
      <c r="AN86" s="41"/>
      <c r="AP86" s="41"/>
      <c r="AR86" s="41"/>
    </row>
    <row r="87" spans="1:44">
      <c r="A87" s="1"/>
      <c r="E87" s="42"/>
      <c r="G87" s="42"/>
      <c r="M87" s="53"/>
      <c r="P87" s="53"/>
      <c r="Q87" s="53"/>
      <c r="R87" s="53"/>
      <c r="S87" s="53"/>
      <c r="X87" s="63"/>
      <c r="AN87" s="41"/>
      <c r="AP87" s="41"/>
      <c r="AR87" s="41"/>
    </row>
    <row r="88" spans="1:44">
      <c r="A88" s="1"/>
      <c r="E88" s="42"/>
      <c r="G88" s="42"/>
      <c r="M88" s="53"/>
      <c r="P88" s="53"/>
      <c r="Q88" s="53"/>
      <c r="R88" s="53"/>
      <c r="S88" s="53"/>
      <c r="AN88" s="41"/>
      <c r="AP88" s="41"/>
      <c r="AR88" s="41"/>
    </row>
    <row r="89" spans="1:44">
      <c r="A89" s="1"/>
      <c r="E89" s="42"/>
      <c r="G89" s="42"/>
      <c r="M89" s="53"/>
      <c r="P89" s="53"/>
      <c r="Q89" s="53"/>
      <c r="R89" s="53"/>
      <c r="S89" s="53"/>
      <c r="AN89" s="41"/>
      <c r="AP89" s="41"/>
      <c r="AR89" s="41"/>
    </row>
    <row r="90" spans="1:44">
      <c r="A90" s="1"/>
      <c r="E90" s="42"/>
      <c r="G90" s="42"/>
      <c r="M90" s="53"/>
      <c r="P90" s="53"/>
      <c r="Q90" s="53"/>
      <c r="R90" s="53"/>
      <c r="S90" s="53"/>
      <c r="AN90" s="41"/>
      <c r="AP90" s="41"/>
      <c r="AR90" s="41"/>
    </row>
    <row r="91" spans="1:44">
      <c r="A91" s="1"/>
      <c r="E91" s="42"/>
      <c r="G91" s="42"/>
      <c r="M91" s="53"/>
      <c r="P91" s="53"/>
      <c r="Q91" s="53"/>
      <c r="R91" s="53"/>
      <c r="S91" s="53"/>
      <c r="AN91" s="41"/>
      <c r="AP91" s="41"/>
      <c r="AR91" s="41"/>
    </row>
    <row r="92" spans="1:44">
      <c r="A92" s="1"/>
      <c r="E92" s="42"/>
      <c r="G92" s="42"/>
      <c r="M92" s="53"/>
      <c r="P92" s="53"/>
      <c r="Q92" s="53"/>
      <c r="R92" s="53"/>
      <c r="S92" s="53"/>
      <c r="AN92" s="41"/>
      <c r="AP92" s="41"/>
      <c r="AR92" s="41"/>
    </row>
    <row r="93" spans="1:44">
      <c r="A93" s="1"/>
      <c r="E93" s="42"/>
      <c r="G93" s="42"/>
      <c r="M93" s="53"/>
      <c r="P93" s="53"/>
      <c r="Q93" s="53"/>
      <c r="R93" s="53"/>
      <c r="S93" s="53"/>
      <c r="X93" s="63"/>
      <c r="AN93" s="41"/>
      <c r="AP93" s="41"/>
      <c r="AR93" s="41"/>
    </row>
    <row r="94" spans="1:44">
      <c r="A94" s="1"/>
      <c r="E94" s="42"/>
      <c r="G94" s="42"/>
      <c r="M94" s="53"/>
      <c r="P94" s="53"/>
      <c r="Q94" s="53"/>
      <c r="R94" s="53"/>
      <c r="S94" s="53"/>
      <c r="AN94" s="41"/>
      <c r="AP94" s="41"/>
      <c r="AR94" s="41"/>
    </row>
    <row r="95" spans="1:44">
      <c r="A95" s="92"/>
      <c r="E95" s="42"/>
      <c r="G95" s="42"/>
      <c r="M95" s="53"/>
      <c r="P95" s="53"/>
      <c r="Q95" s="53"/>
      <c r="R95" s="53"/>
      <c r="S95" s="53"/>
      <c r="AN95" s="41"/>
      <c r="AP95" s="41"/>
      <c r="AR95" s="41"/>
    </row>
    <row r="96" spans="1:44">
      <c r="A96" s="1"/>
      <c r="E96" s="42"/>
      <c r="G96" s="42"/>
      <c r="M96" s="53"/>
      <c r="P96" s="53"/>
      <c r="Q96" s="53"/>
      <c r="R96" s="53"/>
      <c r="S96" s="53"/>
      <c r="X96" s="63"/>
      <c r="AN96" s="41"/>
      <c r="AP96" s="41"/>
      <c r="AR96" s="41"/>
    </row>
    <row r="97" spans="1:44">
      <c r="A97" s="1"/>
      <c r="E97" s="42"/>
      <c r="G97" s="42"/>
      <c r="M97" s="53"/>
      <c r="P97" s="53"/>
      <c r="Q97" s="53"/>
      <c r="R97" s="53"/>
      <c r="S97" s="53"/>
      <c r="AN97" s="41"/>
      <c r="AP97" s="41"/>
      <c r="AR97" s="41"/>
    </row>
    <row r="98" spans="1:44">
      <c r="A98" s="1"/>
      <c r="E98" s="42"/>
      <c r="G98" s="42"/>
      <c r="M98" s="53"/>
      <c r="P98" s="53"/>
      <c r="Q98" s="53"/>
      <c r="R98" s="53"/>
      <c r="S98" s="53"/>
      <c r="AN98" s="41"/>
      <c r="AP98" s="41"/>
      <c r="AR98" s="41"/>
    </row>
    <row r="99" spans="1:44">
      <c r="A99" s="1"/>
      <c r="E99" s="42"/>
      <c r="G99" s="42"/>
      <c r="M99" s="53"/>
      <c r="P99" s="53"/>
      <c r="Q99" s="53"/>
      <c r="R99" s="53"/>
      <c r="S99" s="53"/>
      <c r="AN99" s="41"/>
      <c r="AP99" s="41"/>
      <c r="AR99" s="41"/>
    </row>
    <row r="100" spans="1:44">
      <c r="A100" s="1"/>
      <c r="E100" s="42"/>
      <c r="G100" s="42"/>
      <c r="M100" s="53"/>
      <c r="P100" s="53"/>
      <c r="Q100" s="53"/>
      <c r="R100" s="53"/>
      <c r="S100" s="53"/>
      <c r="AN100" s="41"/>
      <c r="AP100" s="41"/>
      <c r="AR100" s="41"/>
    </row>
    <row r="101" spans="1:44">
      <c r="A101" s="1"/>
      <c r="E101" s="42"/>
      <c r="G101" s="42"/>
      <c r="M101" s="53"/>
      <c r="P101" s="53"/>
      <c r="Q101" s="53"/>
      <c r="R101" s="53"/>
      <c r="S101" s="53"/>
      <c r="AN101" s="41"/>
      <c r="AP101" s="41"/>
      <c r="AR101" s="41"/>
    </row>
    <row r="102" spans="1:44">
      <c r="A102" s="1"/>
      <c r="E102" s="42"/>
      <c r="G102" s="42"/>
      <c r="M102" s="53"/>
      <c r="P102" s="53"/>
      <c r="Q102" s="53"/>
      <c r="R102" s="53"/>
      <c r="S102" s="53"/>
      <c r="AN102" s="41"/>
      <c r="AP102" s="41"/>
      <c r="AR102" s="41"/>
    </row>
    <row r="103" spans="1:44">
      <c r="A103" s="1"/>
      <c r="E103" s="42"/>
      <c r="G103" s="42"/>
      <c r="M103" s="53"/>
      <c r="P103" s="53"/>
      <c r="Q103" s="53"/>
      <c r="R103" s="53"/>
      <c r="S103" s="53"/>
      <c r="AN103" s="41"/>
      <c r="AP103" s="41"/>
      <c r="AR103" s="41"/>
    </row>
    <row r="104" spans="1:44">
      <c r="A104" s="1"/>
      <c r="E104" s="42"/>
      <c r="G104" s="42"/>
      <c r="M104" s="53"/>
      <c r="P104" s="53"/>
      <c r="Q104" s="53"/>
      <c r="R104" s="53"/>
      <c r="S104" s="53"/>
      <c r="AN104" s="41"/>
      <c r="AP104" s="41"/>
      <c r="AR104" s="41"/>
    </row>
    <row r="105" spans="1:44">
      <c r="A105" s="1"/>
      <c r="E105" s="42"/>
      <c r="G105" s="42"/>
      <c r="M105" s="53"/>
      <c r="P105" s="53"/>
      <c r="Q105" s="53"/>
      <c r="R105" s="53"/>
      <c r="S105" s="53"/>
      <c r="AN105" s="41"/>
      <c r="AP105" s="41"/>
      <c r="AR105" s="41"/>
    </row>
    <row r="106" spans="1:44">
      <c r="A106" s="1"/>
      <c r="E106" s="42"/>
      <c r="G106" s="42"/>
      <c r="M106" s="53"/>
      <c r="P106" s="53"/>
      <c r="Q106" s="53"/>
      <c r="R106" s="53"/>
      <c r="S106" s="53"/>
      <c r="AN106" s="41"/>
      <c r="AP106" s="41"/>
      <c r="AR106" s="41"/>
    </row>
    <row r="107" spans="1:44">
      <c r="A107" s="1"/>
      <c r="E107" s="42"/>
      <c r="G107" s="42"/>
      <c r="M107" s="53"/>
      <c r="P107" s="53"/>
      <c r="Q107" s="53"/>
      <c r="R107" s="53"/>
      <c r="S107" s="53"/>
      <c r="AN107" s="41"/>
      <c r="AP107" s="41"/>
      <c r="AR107" s="41"/>
    </row>
    <row r="108" spans="1:44">
      <c r="A108" s="1"/>
      <c r="E108" s="42"/>
      <c r="G108" s="42"/>
      <c r="M108" s="53"/>
      <c r="P108" s="53"/>
      <c r="Q108" s="53"/>
      <c r="R108" s="53"/>
      <c r="S108" s="53"/>
      <c r="AN108" s="41"/>
      <c r="AP108" s="41"/>
      <c r="AR108" s="41"/>
    </row>
    <row r="109" spans="1:44">
      <c r="A109" s="1"/>
      <c r="E109" s="42"/>
      <c r="G109" s="42"/>
      <c r="M109" s="53"/>
      <c r="P109" s="53"/>
      <c r="Q109" s="53"/>
      <c r="R109" s="53"/>
      <c r="S109" s="53"/>
      <c r="AN109" s="41"/>
      <c r="AP109" s="41"/>
      <c r="AR109" s="41"/>
    </row>
    <row r="110" spans="1:44">
      <c r="A110" s="1"/>
      <c r="E110" s="42"/>
      <c r="G110" s="42"/>
      <c r="M110" s="53"/>
      <c r="P110" s="53"/>
      <c r="Q110" s="53"/>
      <c r="R110" s="53"/>
      <c r="S110" s="53"/>
      <c r="AN110" s="41"/>
      <c r="AP110" s="41"/>
      <c r="AR110" s="41"/>
    </row>
    <row r="111" spans="1:44">
      <c r="A111" s="1"/>
      <c r="E111" s="42"/>
      <c r="G111" s="42"/>
      <c r="M111" s="53"/>
      <c r="P111" s="53"/>
      <c r="Q111" s="53"/>
      <c r="R111" s="53"/>
      <c r="S111" s="53"/>
      <c r="AN111" s="41"/>
      <c r="AP111" s="41"/>
      <c r="AR111" s="41"/>
    </row>
    <row r="112" spans="1:44">
      <c r="A112" s="1"/>
      <c r="E112" s="42"/>
      <c r="G112" s="42"/>
      <c r="M112" s="53"/>
      <c r="P112" s="53"/>
      <c r="Q112" s="53"/>
      <c r="R112" s="53"/>
      <c r="S112" s="53"/>
      <c r="AN112" s="41"/>
      <c r="AP112" s="41"/>
      <c r="AR112" s="41"/>
    </row>
    <row r="113" spans="1:44">
      <c r="A113" s="1"/>
      <c r="E113" s="42"/>
      <c r="G113" s="42"/>
      <c r="M113" s="53"/>
      <c r="P113" s="53"/>
      <c r="Q113" s="53"/>
      <c r="R113" s="53"/>
      <c r="S113" s="53"/>
      <c r="AN113" s="41"/>
      <c r="AP113" s="41"/>
      <c r="AR113" s="41"/>
    </row>
    <row r="114" spans="1:44">
      <c r="A114" s="1"/>
      <c r="E114" s="42"/>
      <c r="G114" s="42"/>
      <c r="M114" s="53"/>
      <c r="P114" s="53"/>
      <c r="Q114" s="53"/>
      <c r="R114" s="53"/>
      <c r="S114" s="53"/>
      <c r="AN114" s="41"/>
      <c r="AP114" s="41"/>
      <c r="AR114" s="41"/>
    </row>
    <row r="115" spans="1:44">
      <c r="A115" s="1"/>
      <c r="E115" s="42"/>
      <c r="G115" s="42"/>
      <c r="M115" s="53"/>
      <c r="P115" s="53"/>
      <c r="Q115" s="53"/>
      <c r="R115" s="53"/>
      <c r="S115" s="53"/>
      <c r="AN115" s="41"/>
      <c r="AP115" s="41"/>
      <c r="AR115" s="41"/>
    </row>
    <row r="116" spans="1:44">
      <c r="A116" s="1"/>
      <c r="E116" s="42"/>
      <c r="G116" s="42"/>
      <c r="M116" s="53"/>
      <c r="P116" s="53"/>
      <c r="Q116" s="53"/>
      <c r="R116" s="53"/>
      <c r="S116" s="53"/>
      <c r="AN116" s="41"/>
      <c r="AP116" s="41"/>
      <c r="AR116" s="41"/>
    </row>
    <row r="117" spans="1:44">
      <c r="A117" s="1"/>
      <c r="E117" s="42"/>
      <c r="G117" s="42"/>
      <c r="M117" s="53"/>
      <c r="P117" s="53"/>
      <c r="Q117" s="53"/>
      <c r="R117" s="53"/>
      <c r="S117" s="53"/>
      <c r="AN117" s="41"/>
      <c r="AP117" s="41"/>
      <c r="AR117" s="41"/>
    </row>
    <row r="118" spans="1:44">
      <c r="A118" s="1"/>
      <c r="E118" s="42"/>
      <c r="G118" s="42"/>
      <c r="M118" s="53"/>
      <c r="P118" s="53"/>
      <c r="Q118" s="53"/>
      <c r="R118" s="53"/>
      <c r="S118" s="53"/>
      <c r="X118" s="63"/>
      <c r="AN118" s="41"/>
      <c r="AP118" s="41"/>
      <c r="AR118" s="41"/>
    </row>
    <row r="119" spans="1:44">
      <c r="A119" s="1"/>
      <c r="E119" s="42"/>
      <c r="G119" s="42"/>
      <c r="M119" s="53"/>
      <c r="P119" s="53"/>
      <c r="Q119" s="53"/>
      <c r="R119" s="53"/>
      <c r="S119" s="53"/>
      <c r="X119" s="63"/>
      <c r="AN119" s="41"/>
      <c r="AP119" s="41"/>
      <c r="AR119" s="41"/>
    </row>
    <row r="120" spans="1:44">
      <c r="A120" s="1"/>
      <c r="E120" s="42"/>
      <c r="G120" s="42"/>
      <c r="M120" s="53"/>
      <c r="P120" s="53"/>
      <c r="Q120" s="53"/>
      <c r="R120" s="53"/>
      <c r="S120" s="53"/>
      <c r="AN120" s="41"/>
      <c r="AP120" s="41"/>
      <c r="AR120" s="41"/>
    </row>
    <row r="121" spans="1:44">
      <c r="A121" s="1"/>
      <c r="E121" s="42"/>
      <c r="G121" s="42"/>
      <c r="M121" s="53"/>
      <c r="P121" s="53"/>
      <c r="Q121" s="53"/>
      <c r="R121" s="53"/>
      <c r="S121" s="53"/>
      <c r="AN121" s="41"/>
      <c r="AP121" s="41"/>
      <c r="AR121" s="41"/>
    </row>
    <row r="122" spans="1:44">
      <c r="A122" s="1"/>
      <c r="E122" s="42"/>
      <c r="G122" s="42"/>
      <c r="M122" s="53"/>
      <c r="P122" s="53"/>
      <c r="Q122" s="53"/>
      <c r="R122" s="53"/>
      <c r="S122" s="53"/>
      <c r="AN122" s="41"/>
      <c r="AP122" s="41"/>
      <c r="AR122" s="41"/>
    </row>
    <row r="123" spans="1:44">
      <c r="A123" s="1"/>
      <c r="E123" s="42"/>
      <c r="G123" s="42"/>
      <c r="M123" s="53"/>
      <c r="P123" s="53"/>
      <c r="Q123" s="53"/>
      <c r="R123" s="53"/>
      <c r="S123" s="53"/>
      <c r="AN123" s="41"/>
      <c r="AP123" s="41"/>
      <c r="AR123" s="41"/>
    </row>
    <row r="124" spans="1:44">
      <c r="A124" s="1"/>
      <c r="E124" s="42"/>
      <c r="G124" s="42"/>
      <c r="M124" s="53"/>
      <c r="P124" s="53"/>
      <c r="Q124" s="53"/>
      <c r="R124" s="53"/>
      <c r="S124" s="53"/>
      <c r="AN124" s="41"/>
      <c r="AP124" s="41"/>
      <c r="AR124" s="41"/>
    </row>
    <row r="125" spans="1:44">
      <c r="A125" s="1"/>
      <c r="E125" s="42"/>
      <c r="G125" s="42"/>
      <c r="M125" s="53"/>
      <c r="P125" s="53"/>
      <c r="Q125" s="53"/>
      <c r="R125" s="53"/>
      <c r="S125" s="53"/>
      <c r="X125" s="63"/>
      <c r="AN125" s="41"/>
      <c r="AP125" s="41"/>
      <c r="AR125" s="41"/>
    </row>
    <row r="126" spans="1:44">
      <c r="A126" s="1"/>
      <c r="E126" s="42"/>
      <c r="G126" s="42"/>
      <c r="M126" s="53"/>
      <c r="P126" s="53"/>
      <c r="Q126" s="53"/>
      <c r="R126" s="53"/>
      <c r="S126" s="53"/>
      <c r="X126" s="63"/>
      <c r="AN126" s="41"/>
      <c r="AP126" s="41"/>
      <c r="AR126" s="41"/>
    </row>
    <row r="127" spans="1:44">
      <c r="A127" s="1"/>
      <c r="E127" s="42"/>
      <c r="G127" s="42"/>
      <c r="M127" s="53"/>
      <c r="P127" s="53"/>
      <c r="Q127" s="53"/>
      <c r="R127" s="53"/>
      <c r="S127" s="53"/>
      <c r="AN127" s="41"/>
      <c r="AP127" s="41"/>
      <c r="AR127" s="41"/>
    </row>
    <row r="128" spans="1:44">
      <c r="A128" s="1"/>
      <c r="E128" s="42"/>
      <c r="G128" s="42"/>
      <c r="M128" s="53"/>
      <c r="P128" s="53"/>
      <c r="Q128" s="53"/>
      <c r="R128" s="53"/>
      <c r="S128" s="53"/>
      <c r="AN128" s="41"/>
      <c r="AP128" s="41"/>
      <c r="AR128" s="41"/>
    </row>
    <row r="129" spans="1:44">
      <c r="A129" s="1"/>
      <c r="E129" s="42"/>
      <c r="G129" s="42"/>
      <c r="M129" s="53"/>
      <c r="P129" s="53"/>
      <c r="Q129" s="53"/>
      <c r="R129" s="53"/>
      <c r="S129" s="53"/>
      <c r="AN129" s="41"/>
      <c r="AP129" s="41"/>
      <c r="AR129" s="41"/>
    </row>
    <row r="130" spans="1:44">
      <c r="A130" s="1"/>
      <c r="E130" s="42"/>
      <c r="G130" s="42"/>
      <c r="M130" s="53"/>
      <c r="P130" s="53"/>
      <c r="Q130" s="53"/>
      <c r="R130" s="53"/>
      <c r="S130" s="53"/>
      <c r="AN130" s="41"/>
      <c r="AP130" s="41"/>
      <c r="AR130" s="41"/>
    </row>
    <row r="131" spans="1:44">
      <c r="A131" s="1"/>
      <c r="E131" s="42"/>
      <c r="G131" s="42"/>
      <c r="M131" s="53"/>
      <c r="P131" s="53"/>
      <c r="Q131" s="53"/>
      <c r="R131" s="53"/>
      <c r="S131" s="53"/>
      <c r="X131" s="63"/>
      <c r="AN131" s="41"/>
      <c r="AP131" s="41"/>
      <c r="AR131" s="41"/>
    </row>
    <row r="132" spans="1:44">
      <c r="A132" s="1"/>
      <c r="E132" s="42"/>
      <c r="G132" s="42"/>
      <c r="M132" s="53"/>
      <c r="P132" s="53"/>
      <c r="Q132" s="53"/>
      <c r="R132" s="53"/>
      <c r="S132" s="53"/>
      <c r="AN132" s="41"/>
      <c r="AP132" s="41"/>
      <c r="AR132" s="41"/>
    </row>
    <row r="133" spans="1:44">
      <c r="A133" s="1"/>
      <c r="E133" s="42"/>
      <c r="G133" s="42"/>
      <c r="M133" s="53"/>
      <c r="P133" s="53"/>
      <c r="Q133" s="53"/>
      <c r="R133" s="53"/>
      <c r="S133" s="53"/>
      <c r="X133" s="63"/>
      <c r="AN133" s="41"/>
      <c r="AP133" s="41"/>
      <c r="AR133" s="41"/>
    </row>
    <row r="134" spans="1:44">
      <c r="A134" s="1"/>
      <c r="E134" s="42"/>
      <c r="G134" s="42"/>
      <c r="M134" s="53"/>
      <c r="P134" s="53"/>
      <c r="Q134" s="53"/>
      <c r="R134" s="53"/>
      <c r="S134" s="53"/>
      <c r="AN134" s="41"/>
      <c r="AP134" s="41"/>
      <c r="AR134" s="41"/>
    </row>
    <row r="135" spans="1:44">
      <c r="A135" s="1"/>
      <c r="E135" s="42"/>
      <c r="G135" s="42"/>
      <c r="M135" s="53"/>
      <c r="P135" s="53"/>
      <c r="Q135" s="53"/>
      <c r="R135" s="53"/>
      <c r="S135" s="53"/>
      <c r="X135" s="63"/>
      <c r="AN135" s="41"/>
      <c r="AP135" s="41"/>
      <c r="AR135" s="41"/>
    </row>
    <row r="136" spans="1:44">
      <c r="A136" s="1"/>
      <c r="E136" s="42"/>
      <c r="G136" s="42"/>
      <c r="M136" s="53"/>
      <c r="P136" s="53"/>
      <c r="Q136" s="53"/>
      <c r="R136" s="53"/>
      <c r="S136" s="53"/>
      <c r="AN136" s="41"/>
      <c r="AP136" s="41"/>
      <c r="AR136" s="41"/>
    </row>
    <row r="137" spans="1:44">
      <c r="A137" s="1"/>
      <c r="E137" s="42"/>
      <c r="G137" s="42"/>
      <c r="M137" s="53"/>
      <c r="P137" s="53"/>
      <c r="Q137" s="53"/>
      <c r="R137" s="53"/>
      <c r="S137" s="53"/>
      <c r="AN137" s="41"/>
      <c r="AP137" s="41"/>
      <c r="AR137" s="41"/>
    </row>
    <row r="138" spans="1:44">
      <c r="A138" s="1"/>
      <c r="D138" s="3"/>
      <c r="E138" s="52"/>
      <c r="G138" s="42"/>
      <c r="K138" s="81"/>
      <c r="M138" s="53"/>
      <c r="P138" s="53"/>
      <c r="Q138" s="53"/>
      <c r="R138" s="53"/>
      <c r="S138" s="53"/>
      <c r="X138" s="63"/>
      <c r="AN138" s="41"/>
      <c r="AP138" s="41"/>
      <c r="AR138" s="41"/>
    </row>
    <row r="139" spans="1:44">
      <c r="A139" s="1"/>
      <c r="D139" s="3"/>
      <c r="E139" s="52"/>
      <c r="G139" s="42"/>
      <c r="K139" s="81"/>
      <c r="M139" s="53"/>
      <c r="P139" s="53"/>
      <c r="Q139" s="53"/>
      <c r="R139" s="53"/>
      <c r="S139" s="53"/>
      <c r="X139" s="63"/>
      <c r="AN139" s="41"/>
      <c r="AP139" s="41"/>
      <c r="AR139" s="41"/>
    </row>
    <row r="140" spans="1:44">
      <c r="A140" s="1"/>
      <c r="D140" s="3"/>
      <c r="E140" s="52"/>
      <c r="G140" s="42"/>
      <c r="K140" s="81"/>
      <c r="M140" s="53"/>
      <c r="P140" s="53"/>
      <c r="Q140" s="53"/>
      <c r="R140" s="53"/>
      <c r="S140" s="53"/>
      <c r="AN140" s="41"/>
      <c r="AP140" s="41"/>
      <c r="AR140" s="41"/>
    </row>
    <row r="141" spans="1:44">
      <c r="A141" s="1"/>
      <c r="E141" s="52"/>
      <c r="G141" s="42"/>
      <c r="K141" s="81"/>
      <c r="M141" s="53"/>
      <c r="P141" s="53"/>
      <c r="Q141" s="53"/>
      <c r="R141" s="53"/>
      <c r="S141" s="53"/>
      <c r="X141" s="63"/>
      <c r="AN141" s="41"/>
      <c r="AP141" s="41"/>
      <c r="AR141" s="41"/>
    </row>
    <row r="142" spans="1:44">
      <c r="A142" s="1"/>
      <c r="D142" s="3"/>
      <c r="E142" s="52"/>
      <c r="G142" s="42"/>
      <c r="K142" s="81"/>
      <c r="M142" s="53"/>
      <c r="P142" s="53"/>
      <c r="Q142" s="53"/>
      <c r="R142" s="53"/>
      <c r="S142" s="53"/>
      <c r="AN142" s="41"/>
      <c r="AP142" s="41"/>
      <c r="AR142" s="41"/>
    </row>
    <row r="143" spans="1:44">
      <c r="A143" s="1"/>
      <c r="D143" s="3"/>
      <c r="E143" s="52"/>
      <c r="G143" s="42"/>
      <c r="K143" s="81"/>
      <c r="M143" s="53"/>
      <c r="P143" s="53"/>
      <c r="Q143" s="53"/>
      <c r="R143" s="53"/>
      <c r="S143" s="53"/>
      <c r="X143" s="63"/>
      <c r="AN143" s="41"/>
      <c r="AP143" s="41"/>
      <c r="AR143" s="41"/>
    </row>
    <row r="144" spans="1:44">
      <c r="A144" s="1"/>
      <c r="E144" s="42"/>
      <c r="G144" s="42"/>
      <c r="M144" s="53"/>
      <c r="P144" s="53"/>
      <c r="Q144" s="53"/>
      <c r="R144" s="53"/>
      <c r="S144" s="53"/>
      <c r="AN144" s="41"/>
      <c r="AP144" s="41"/>
      <c r="AR144" s="41"/>
    </row>
    <row r="145" spans="1:44">
      <c r="A145" s="1"/>
      <c r="D145" s="3"/>
      <c r="E145" s="52"/>
      <c r="G145" s="42"/>
      <c r="K145" s="81"/>
      <c r="M145" s="53"/>
      <c r="P145" s="53"/>
      <c r="Q145" s="53"/>
      <c r="R145" s="53"/>
      <c r="S145" s="53"/>
      <c r="AN145" s="41"/>
      <c r="AP145" s="41"/>
      <c r="AR145" s="41"/>
    </row>
    <row r="146" spans="1:44">
      <c r="A146" s="1"/>
      <c r="E146" s="42"/>
      <c r="G146" s="42"/>
      <c r="M146" s="53"/>
      <c r="P146" s="53"/>
      <c r="Q146" s="53"/>
      <c r="R146" s="53"/>
      <c r="S146" s="53"/>
      <c r="AN146" s="41"/>
      <c r="AP146" s="41"/>
      <c r="AR146" s="41"/>
    </row>
    <row r="147" spans="1:44">
      <c r="A147" s="1"/>
      <c r="D147" s="3"/>
      <c r="E147" s="52"/>
      <c r="F147" s="3"/>
      <c r="G147" s="42"/>
      <c r="K147" s="81"/>
      <c r="M147" s="53"/>
      <c r="P147" s="53"/>
      <c r="Q147" s="53"/>
      <c r="R147" s="53"/>
      <c r="S147" s="53"/>
      <c r="AN147" s="41"/>
      <c r="AP147" s="41"/>
      <c r="AR147" s="41"/>
    </row>
    <row r="148" spans="1:44">
      <c r="A148" s="1"/>
      <c r="E148" s="52"/>
      <c r="G148" s="42"/>
      <c r="K148" s="81"/>
      <c r="M148" s="53"/>
      <c r="P148" s="53"/>
      <c r="Q148" s="53"/>
      <c r="R148" s="53"/>
      <c r="S148" s="53"/>
      <c r="AN148" s="41"/>
      <c r="AP148" s="41"/>
      <c r="AR148" s="41"/>
    </row>
    <row r="149" spans="1:44">
      <c r="A149" s="1"/>
      <c r="D149" s="3"/>
      <c r="E149" s="52"/>
      <c r="G149" s="42"/>
      <c r="K149" s="81"/>
      <c r="M149" s="53"/>
      <c r="P149" s="53"/>
      <c r="Q149" s="53"/>
      <c r="R149" s="53"/>
      <c r="S149" s="53"/>
      <c r="AN149" s="41"/>
      <c r="AP149" s="41"/>
      <c r="AR149" s="41"/>
    </row>
    <row r="150" spans="1:44">
      <c r="A150" s="1"/>
      <c r="D150" s="3"/>
      <c r="E150" s="52"/>
      <c r="G150" s="42"/>
      <c r="K150" s="81"/>
      <c r="M150" s="53"/>
      <c r="P150" s="53"/>
      <c r="Q150" s="53"/>
      <c r="R150" s="53"/>
      <c r="S150" s="53"/>
      <c r="X150" s="63"/>
      <c r="AN150" s="41"/>
      <c r="AP150" s="41"/>
      <c r="AR150" s="41"/>
    </row>
    <row r="151" spans="1:44">
      <c r="A151" s="1"/>
      <c r="D151" s="3"/>
      <c r="E151" s="52"/>
      <c r="G151" s="42"/>
      <c r="K151" s="81"/>
      <c r="M151" s="53"/>
      <c r="P151" s="53"/>
      <c r="Q151" s="53"/>
      <c r="R151" s="53"/>
      <c r="S151" s="53"/>
      <c r="AN151" s="41"/>
      <c r="AP151" s="41"/>
      <c r="AR151" s="41"/>
    </row>
    <row r="152" spans="1:44">
      <c r="A152" s="1"/>
      <c r="E152" s="52"/>
      <c r="G152" s="42"/>
      <c r="K152" s="81"/>
      <c r="M152" s="53"/>
      <c r="P152" s="53"/>
      <c r="Q152" s="53"/>
      <c r="R152" s="53"/>
      <c r="S152" s="53"/>
      <c r="AN152" s="41"/>
      <c r="AP152" s="41"/>
      <c r="AR152" s="41"/>
    </row>
    <row r="153" spans="1:44">
      <c r="A153" s="1"/>
      <c r="E153" s="42"/>
      <c r="G153" s="42"/>
      <c r="M153" s="53"/>
      <c r="P153" s="53"/>
      <c r="Q153" s="53"/>
      <c r="R153" s="53"/>
      <c r="S153" s="53"/>
      <c r="AN153" s="41"/>
      <c r="AP153" s="41"/>
      <c r="AR153" s="41"/>
    </row>
    <row r="154" spans="1:44">
      <c r="A154" s="1"/>
      <c r="E154" s="42"/>
      <c r="G154" s="42"/>
      <c r="M154" s="53"/>
      <c r="P154" s="53"/>
      <c r="Q154" s="53"/>
      <c r="R154" s="53"/>
      <c r="S154" s="53"/>
      <c r="AN154" s="41"/>
      <c r="AP154" s="41"/>
      <c r="AR154" s="41"/>
    </row>
    <row r="155" spans="1:44">
      <c r="A155" s="1"/>
      <c r="D155" s="3"/>
      <c r="E155" s="52"/>
      <c r="G155" s="42"/>
      <c r="K155" s="81"/>
      <c r="M155" s="53"/>
      <c r="P155" s="53"/>
      <c r="Q155" s="53"/>
      <c r="R155" s="53"/>
      <c r="S155" s="53"/>
      <c r="AN155" s="41"/>
      <c r="AP155" s="41"/>
      <c r="AR155" s="41"/>
    </row>
    <row r="156" spans="1:44">
      <c r="A156" s="1"/>
      <c r="E156" s="42"/>
      <c r="G156" s="42"/>
      <c r="M156" s="53"/>
      <c r="P156" s="53"/>
      <c r="Q156" s="53"/>
      <c r="R156" s="53"/>
      <c r="S156" s="53"/>
      <c r="AN156" s="41"/>
      <c r="AP156" s="41"/>
      <c r="AR156" s="41"/>
    </row>
    <row r="157" spans="1:44">
      <c r="A157" s="1"/>
      <c r="E157" s="52"/>
      <c r="G157" s="42"/>
      <c r="K157" s="81"/>
      <c r="M157" s="53"/>
      <c r="P157" s="53"/>
      <c r="Q157" s="53"/>
      <c r="R157" s="53"/>
      <c r="S157" s="53"/>
      <c r="AN157" s="41"/>
      <c r="AP157" s="41"/>
      <c r="AR157" s="41"/>
    </row>
    <row r="158" spans="1:44">
      <c r="A158" s="1"/>
      <c r="D158" s="3"/>
      <c r="E158" s="52"/>
      <c r="G158" s="42"/>
      <c r="K158" s="81"/>
      <c r="M158" s="53"/>
      <c r="P158" s="53"/>
      <c r="Q158" s="53"/>
      <c r="R158" s="53"/>
      <c r="S158" s="53"/>
      <c r="AN158" s="41"/>
      <c r="AP158" s="41"/>
      <c r="AR158" s="41"/>
    </row>
    <row r="159" spans="1:44">
      <c r="A159" s="93"/>
      <c r="D159" s="3"/>
      <c r="E159" s="52"/>
      <c r="G159" s="42"/>
      <c r="K159" s="81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AN159" s="41"/>
      <c r="AP159" s="41"/>
      <c r="AR159" s="41"/>
    </row>
    <row r="160" spans="1:44">
      <c r="A160" s="1"/>
      <c r="D160" s="3"/>
      <c r="E160" s="52"/>
      <c r="G160" s="42"/>
      <c r="K160" s="81"/>
      <c r="M160" s="53"/>
      <c r="P160" s="53"/>
      <c r="Q160" s="53"/>
      <c r="R160" s="53"/>
      <c r="S160" s="53"/>
      <c r="AN160" s="41"/>
      <c r="AP160" s="41"/>
      <c r="AR160" s="41"/>
    </row>
    <row r="161" spans="1:44">
      <c r="A161" s="1"/>
      <c r="D161" s="3"/>
      <c r="E161" s="52"/>
      <c r="G161" s="42"/>
      <c r="K161" s="81"/>
      <c r="M161" s="53"/>
      <c r="P161" s="53"/>
      <c r="Q161" s="53"/>
      <c r="R161" s="53"/>
      <c r="S161" s="53"/>
      <c r="AN161" s="41"/>
      <c r="AP161" s="41"/>
      <c r="AR161" s="41"/>
    </row>
    <row r="162" spans="1:44">
      <c r="A162" s="1"/>
      <c r="D162" s="3"/>
      <c r="E162" s="52"/>
      <c r="G162" s="42"/>
      <c r="K162" s="81"/>
      <c r="M162" s="53"/>
      <c r="P162" s="53"/>
      <c r="Q162" s="53"/>
      <c r="R162" s="53"/>
      <c r="S162" s="53"/>
      <c r="AN162" s="41"/>
      <c r="AP162" s="41"/>
      <c r="AR162" s="41"/>
    </row>
    <row r="163" spans="1:44">
      <c r="A163" s="1"/>
      <c r="D163" s="3"/>
      <c r="E163" s="52"/>
      <c r="G163" s="42"/>
      <c r="K163" s="81"/>
      <c r="M163" s="53"/>
      <c r="P163" s="53"/>
      <c r="Q163" s="53"/>
      <c r="R163" s="53"/>
      <c r="S163" s="53"/>
      <c r="AN163" s="41"/>
      <c r="AP163" s="41"/>
      <c r="AR163" s="41"/>
    </row>
    <row r="164" spans="1:44" ht="15.6">
      <c r="A164" s="45"/>
      <c r="B164" s="44"/>
      <c r="C164" s="44"/>
      <c r="D164" s="45"/>
      <c r="E164" s="47"/>
      <c r="F164" s="48"/>
      <c r="G164" s="46"/>
      <c r="H164" s="47"/>
      <c r="I164" s="49"/>
      <c r="J164" s="64"/>
      <c r="K164" s="91"/>
      <c r="M164" s="53"/>
      <c r="P164" s="53"/>
      <c r="Q164" s="53"/>
      <c r="R164" s="53"/>
      <c r="S164" s="53"/>
      <c r="AN164" s="41"/>
      <c r="AP164" s="41"/>
      <c r="AR164" s="41"/>
    </row>
    <row r="165" spans="1:44" ht="15.6">
      <c r="A165" s="45"/>
      <c r="B165" s="44"/>
      <c r="C165" s="44"/>
      <c r="D165" s="45"/>
      <c r="E165" s="47"/>
      <c r="F165" s="50"/>
      <c r="G165" s="46"/>
      <c r="H165" s="47"/>
      <c r="I165" s="49"/>
      <c r="J165" s="64"/>
      <c r="K165" s="91"/>
      <c r="M165" s="53"/>
      <c r="P165" s="53"/>
      <c r="Q165" s="53"/>
      <c r="R165" s="53"/>
      <c r="S165" s="53"/>
      <c r="AN165" s="41"/>
      <c r="AP165" s="41"/>
      <c r="AR165" s="41"/>
    </row>
    <row r="166" spans="1:44" ht="15.6">
      <c r="A166" s="45"/>
      <c r="B166" s="44"/>
      <c r="C166" s="44"/>
      <c r="D166" s="45"/>
      <c r="E166" s="47"/>
      <c r="F166" s="48"/>
      <c r="G166" s="46"/>
      <c r="H166" s="47"/>
      <c r="I166" s="49"/>
      <c r="J166" s="64"/>
      <c r="K166" s="91"/>
      <c r="M166" s="53"/>
      <c r="P166" s="53"/>
      <c r="Q166" s="53"/>
      <c r="R166" s="53"/>
      <c r="S166" s="53"/>
      <c r="AN166" s="41"/>
      <c r="AP166" s="41"/>
      <c r="AR166" s="41"/>
    </row>
    <row r="167" spans="1:44" ht="15.6">
      <c r="A167" s="45"/>
      <c r="B167" s="44"/>
      <c r="C167" s="44"/>
      <c r="D167" s="45"/>
      <c r="E167" s="47"/>
      <c r="F167" s="48"/>
      <c r="G167" s="46"/>
      <c r="H167" s="47"/>
      <c r="I167" s="49"/>
      <c r="J167" s="64"/>
      <c r="K167" s="91"/>
      <c r="M167" s="53"/>
      <c r="P167" s="53"/>
      <c r="Q167" s="53"/>
      <c r="R167" s="53"/>
      <c r="S167" s="53"/>
      <c r="AN167" s="41"/>
      <c r="AP167" s="41"/>
      <c r="AR167" s="41"/>
    </row>
    <row r="168" spans="1:44" ht="15.6">
      <c r="A168" s="45"/>
      <c r="B168" s="44"/>
      <c r="C168" s="44"/>
      <c r="D168" s="45"/>
      <c r="E168" s="47"/>
      <c r="F168" s="50"/>
      <c r="G168" s="46"/>
      <c r="H168" s="47"/>
      <c r="I168" s="49"/>
      <c r="J168" s="64"/>
      <c r="K168" s="91"/>
      <c r="M168" s="53"/>
      <c r="P168" s="53"/>
      <c r="Q168" s="53"/>
      <c r="R168" s="53"/>
      <c r="S168" s="53"/>
      <c r="AN168" s="41"/>
      <c r="AP168" s="41"/>
      <c r="AR168" s="41"/>
    </row>
    <row r="169" spans="1:44" ht="15.6">
      <c r="A169" s="45"/>
      <c r="B169" s="44"/>
      <c r="C169" s="44"/>
      <c r="D169" s="45"/>
      <c r="E169" s="47"/>
      <c r="F169" s="48"/>
      <c r="G169" s="46"/>
      <c r="H169" s="47"/>
      <c r="I169" s="49"/>
      <c r="J169" s="64"/>
      <c r="K169" s="91"/>
      <c r="M169" s="53"/>
      <c r="P169" s="53"/>
      <c r="Q169" s="53"/>
      <c r="R169" s="53"/>
      <c r="S169" s="53"/>
      <c r="AN169" s="41"/>
      <c r="AP169" s="41"/>
      <c r="AR169" s="41"/>
    </row>
    <row r="170" spans="1:44" ht="15.6">
      <c r="A170" s="45"/>
      <c r="B170" s="44"/>
      <c r="C170" s="44"/>
      <c r="D170" s="45"/>
      <c r="E170" s="47"/>
      <c r="F170" s="50"/>
      <c r="G170" s="46"/>
      <c r="H170" s="47"/>
      <c r="I170" s="49"/>
      <c r="J170" s="64"/>
      <c r="K170" s="91"/>
      <c r="M170" s="53"/>
      <c r="P170" s="53"/>
      <c r="Q170" s="53"/>
      <c r="R170" s="53"/>
      <c r="S170" s="53"/>
      <c r="AN170" s="41"/>
      <c r="AP170" s="41"/>
      <c r="AR170" s="41"/>
    </row>
    <row r="171" spans="1:44" ht="15.6">
      <c r="A171" s="45"/>
      <c r="B171" s="44"/>
      <c r="C171" s="44"/>
      <c r="D171" s="45"/>
      <c r="E171" s="47"/>
      <c r="F171" s="50"/>
      <c r="G171" s="46"/>
      <c r="H171" s="47"/>
      <c r="I171" s="49"/>
      <c r="J171" s="64"/>
      <c r="K171" s="91"/>
      <c r="M171" s="53"/>
      <c r="P171" s="53"/>
      <c r="Q171" s="53"/>
      <c r="R171" s="53"/>
      <c r="S171" s="53"/>
      <c r="AN171" s="41"/>
      <c r="AP171" s="41"/>
      <c r="AR171" s="41"/>
    </row>
    <row r="172" spans="1:44" ht="15.6">
      <c r="A172" s="45"/>
      <c r="B172" s="44"/>
      <c r="C172" s="44"/>
      <c r="D172" s="45"/>
      <c r="E172" s="47"/>
      <c r="F172" s="48"/>
      <c r="G172" s="46"/>
      <c r="H172" s="47"/>
      <c r="I172" s="49"/>
      <c r="J172" s="64"/>
      <c r="K172" s="91"/>
      <c r="M172" s="53"/>
      <c r="P172" s="53"/>
      <c r="Q172" s="53"/>
      <c r="R172" s="53"/>
      <c r="S172" s="53"/>
      <c r="AN172" s="41"/>
      <c r="AP172" s="41"/>
      <c r="AR172" s="41"/>
    </row>
    <row r="173" spans="1:44" ht="15.6">
      <c r="A173" s="45"/>
      <c r="B173" s="44"/>
      <c r="C173" s="44"/>
      <c r="D173" s="45"/>
      <c r="E173" s="47"/>
      <c r="F173" s="48"/>
      <c r="G173" s="46"/>
      <c r="H173" s="47"/>
      <c r="I173" s="49"/>
      <c r="J173" s="64"/>
      <c r="K173" s="91"/>
      <c r="M173" s="53"/>
      <c r="P173" s="53"/>
      <c r="Q173" s="53"/>
      <c r="R173" s="53"/>
      <c r="S173" s="53"/>
      <c r="AN173" s="41"/>
      <c r="AP173" s="41"/>
      <c r="AR173" s="41"/>
    </row>
    <row r="174" spans="1:44" ht="15.6">
      <c r="A174" s="45"/>
      <c r="B174" s="44"/>
      <c r="C174" s="44"/>
      <c r="D174" s="45"/>
      <c r="E174" s="47"/>
      <c r="F174" s="50"/>
      <c r="G174" s="46"/>
      <c r="H174" s="47"/>
      <c r="I174" s="49"/>
      <c r="J174" s="64"/>
      <c r="K174" s="91"/>
      <c r="M174" s="53"/>
      <c r="P174" s="53"/>
      <c r="Q174" s="53"/>
      <c r="R174" s="53"/>
      <c r="S174" s="53"/>
      <c r="AN174" s="41"/>
      <c r="AP174" s="41"/>
      <c r="AR174" s="41"/>
    </row>
    <row r="175" spans="1:44" ht="15.6">
      <c r="A175" s="45"/>
      <c r="B175" s="44"/>
      <c r="C175" s="44"/>
      <c r="D175" s="45"/>
      <c r="E175" s="47"/>
      <c r="F175" s="48"/>
      <c r="G175" s="46"/>
      <c r="H175" s="47"/>
      <c r="I175" s="49"/>
      <c r="J175" s="64"/>
      <c r="K175" s="91"/>
      <c r="M175" s="53"/>
      <c r="P175" s="53"/>
      <c r="Q175" s="53"/>
      <c r="R175" s="53"/>
      <c r="S175" s="53"/>
      <c r="AN175" s="41"/>
      <c r="AP175" s="41"/>
      <c r="AR175" s="41"/>
    </row>
    <row r="176" spans="1:44" ht="15.6">
      <c r="A176" s="45"/>
      <c r="B176" s="44"/>
      <c r="C176" s="44"/>
      <c r="D176" s="45"/>
      <c r="E176" s="47"/>
      <c r="F176" s="50"/>
      <c r="G176" s="46"/>
      <c r="H176" s="47"/>
      <c r="I176" s="49"/>
      <c r="J176" s="64"/>
      <c r="K176" s="91"/>
      <c r="M176" s="53"/>
      <c r="P176" s="53"/>
      <c r="Q176" s="53"/>
      <c r="R176" s="53"/>
      <c r="S176" s="53"/>
      <c r="AN176" s="41"/>
      <c r="AP176" s="41"/>
      <c r="AR176" s="41"/>
    </row>
    <row r="177" spans="1:44" ht="15.6">
      <c r="A177" s="45"/>
      <c r="B177" s="44"/>
      <c r="C177" s="44"/>
      <c r="D177" s="45"/>
      <c r="E177" s="47"/>
      <c r="F177" s="50"/>
      <c r="G177" s="46"/>
      <c r="H177" s="47"/>
      <c r="I177" s="49"/>
      <c r="J177" s="64"/>
      <c r="K177" s="91"/>
      <c r="M177" s="53"/>
      <c r="P177" s="53"/>
      <c r="Q177" s="53"/>
      <c r="R177" s="53"/>
      <c r="S177" s="53"/>
      <c r="AN177" s="41"/>
      <c r="AP177" s="41"/>
      <c r="AR177" s="41"/>
    </row>
    <row r="178" spans="1:44" ht="15.6">
      <c r="A178" s="45"/>
      <c r="B178" s="44"/>
      <c r="C178" s="44"/>
      <c r="D178" s="45"/>
      <c r="E178" s="47"/>
      <c r="F178" s="48"/>
      <c r="G178" s="46"/>
      <c r="H178" s="47"/>
      <c r="I178" s="49"/>
      <c r="J178" s="64"/>
      <c r="K178" s="91"/>
      <c r="M178" s="53"/>
      <c r="P178" s="53"/>
      <c r="Q178" s="53"/>
      <c r="R178" s="53"/>
      <c r="S178" s="53"/>
      <c r="AN178" s="41"/>
      <c r="AP178" s="41"/>
      <c r="AR178" s="41"/>
    </row>
    <row r="179" spans="1:44" ht="15.6">
      <c r="A179" s="45"/>
      <c r="B179" s="44"/>
      <c r="C179" s="44"/>
      <c r="D179" s="45"/>
      <c r="E179" s="47"/>
      <c r="F179" s="48"/>
      <c r="G179" s="46"/>
      <c r="H179" s="47"/>
      <c r="I179" s="49"/>
      <c r="J179" s="64"/>
      <c r="K179" s="91"/>
      <c r="M179" s="53"/>
      <c r="P179" s="53"/>
      <c r="Q179" s="53"/>
      <c r="R179" s="53"/>
      <c r="S179" s="53"/>
      <c r="AN179" s="41"/>
      <c r="AP179" s="41"/>
      <c r="AR179" s="41"/>
    </row>
    <row r="180" spans="1:44" ht="15.6">
      <c r="A180" s="45"/>
      <c r="B180" s="44"/>
      <c r="C180" s="44"/>
      <c r="D180" s="45"/>
      <c r="E180" s="47"/>
      <c r="F180" s="50"/>
      <c r="G180" s="46"/>
      <c r="H180" s="47"/>
      <c r="I180" s="49"/>
      <c r="J180" s="64"/>
      <c r="K180" s="91"/>
      <c r="M180" s="53"/>
      <c r="P180" s="53"/>
      <c r="Q180" s="53"/>
      <c r="R180" s="53"/>
      <c r="S180" s="53"/>
      <c r="AN180" s="41"/>
      <c r="AP180" s="41"/>
      <c r="AR180" s="41"/>
    </row>
    <row r="181" spans="1:44" ht="15.6">
      <c r="A181" s="45"/>
      <c r="B181" s="44"/>
      <c r="C181" s="44"/>
      <c r="D181" s="45"/>
      <c r="E181" s="47"/>
      <c r="F181" s="48"/>
      <c r="G181" s="46"/>
      <c r="H181" s="47"/>
      <c r="I181" s="49"/>
      <c r="J181" s="64"/>
      <c r="K181" s="91"/>
      <c r="M181" s="53"/>
      <c r="P181" s="53"/>
      <c r="Q181" s="53"/>
      <c r="R181" s="53"/>
      <c r="S181" s="53"/>
      <c r="AN181" s="41"/>
      <c r="AP181" s="41"/>
      <c r="AR181" s="41"/>
    </row>
    <row r="182" spans="1:44" ht="15.6">
      <c r="A182" s="45"/>
      <c r="B182" s="44"/>
      <c r="C182" s="44"/>
      <c r="D182" s="45"/>
      <c r="E182" s="47"/>
      <c r="F182" s="50"/>
      <c r="G182" s="46"/>
      <c r="H182" s="47"/>
      <c r="I182" s="49"/>
      <c r="J182" s="64"/>
      <c r="K182" s="91"/>
      <c r="M182" s="53"/>
      <c r="P182" s="53"/>
      <c r="Q182" s="53"/>
      <c r="R182" s="53"/>
      <c r="S182" s="53"/>
      <c r="AN182" s="41"/>
      <c r="AP182" s="41"/>
      <c r="AR182" s="41"/>
    </row>
    <row r="183" spans="1:44" ht="15.6">
      <c r="A183" s="45"/>
      <c r="B183" s="44"/>
      <c r="C183" s="44"/>
      <c r="D183" s="45"/>
      <c r="E183" s="47"/>
      <c r="F183" s="48"/>
      <c r="G183" s="46"/>
      <c r="H183" s="47"/>
      <c r="I183" s="49"/>
      <c r="J183" s="64"/>
      <c r="K183" s="91"/>
      <c r="M183" s="53"/>
      <c r="P183" s="53"/>
      <c r="Q183" s="53"/>
      <c r="R183" s="53"/>
      <c r="S183" s="53"/>
      <c r="AN183" s="41"/>
      <c r="AP183" s="41"/>
      <c r="AR183" s="41"/>
    </row>
    <row r="184" spans="1:44" ht="15.6">
      <c r="A184" s="45"/>
      <c r="B184" s="44"/>
      <c r="C184" s="44"/>
      <c r="D184" s="45"/>
      <c r="E184" s="47"/>
      <c r="F184" s="50"/>
      <c r="G184" s="46"/>
      <c r="H184" s="47"/>
      <c r="I184" s="49"/>
      <c r="J184" s="64"/>
      <c r="K184" s="91"/>
      <c r="M184" s="53"/>
      <c r="P184" s="53"/>
      <c r="Q184" s="53"/>
      <c r="R184" s="53"/>
      <c r="S184" s="53"/>
      <c r="AN184" s="41"/>
      <c r="AP184" s="41"/>
      <c r="AR184" s="41"/>
    </row>
    <row r="185" spans="1:44" ht="15.6">
      <c r="A185" s="45"/>
      <c r="B185" s="44"/>
      <c r="C185" s="44"/>
      <c r="D185" s="45"/>
      <c r="E185" s="47"/>
      <c r="F185" s="48"/>
      <c r="G185" s="46"/>
      <c r="H185" s="47"/>
      <c r="I185" s="49"/>
      <c r="J185" s="64"/>
      <c r="K185" s="91"/>
      <c r="M185" s="53"/>
      <c r="P185" s="53"/>
      <c r="Q185" s="53"/>
      <c r="R185" s="53"/>
      <c r="S185" s="53"/>
      <c r="AN185" s="41"/>
      <c r="AP185" s="41"/>
      <c r="AR185" s="41"/>
    </row>
    <row r="186" spans="1:44" ht="15.6">
      <c r="A186" s="45"/>
      <c r="B186" s="44"/>
      <c r="C186" s="44"/>
      <c r="D186" s="45"/>
      <c r="E186" s="47"/>
      <c r="F186" s="48"/>
      <c r="G186" s="46"/>
      <c r="H186" s="47"/>
      <c r="I186" s="49"/>
      <c r="J186" s="64"/>
      <c r="K186" s="91"/>
      <c r="M186" s="53"/>
      <c r="P186" s="53"/>
      <c r="Q186" s="53"/>
      <c r="R186" s="53"/>
      <c r="S186" s="53"/>
      <c r="AN186" s="41"/>
      <c r="AP186" s="41"/>
      <c r="AR186" s="41"/>
    </row>
    <row r="187" spans="1:44" ht="15.6">
      <c r="A187" s="45"/>
      <c r="B187" s="44"/>
      <c r="C187" s="44"/>
      <c r="D187" s="45"/>
      <c r="E187" s="47"/>
      <c r="F187" s="48"/>
      <c r="G187" s="46"/>
      <c r="H187" s="47"/>
      <c r="I187" s="49"/>
      <c r="J187" s="64"/>
      <c r="K187" s="91"/>
      <c r="M187" s="53"/>
      <c r="P187" s="53"/>
      <c r="Q187" s="53"/>
      <c r="R187" s="53"/>
      <c r="S187" s="53"/>
      <c r="AN187" s="41"/>
      <c r="AP187" s="41"/>
      <c r="AR187" s="41"/>
    </row>
    <row r="188" spans="1:44" ht="15.6">
      <c r="A188" s="45"/>
      <c r="B188" s="44"/>
      <c r="C188" s="44"/>
      <c r="D188" s="45"/>
      <c r="E188" s="47"/>
      <c r="F188" s="48"/>
      <c r="G188" s="46"/>
      <c r="H188" s="47"/>
      <c r="I188" s="49"/>
      <c r="J188" s="64"/>
      <c r="K188" s="91"/>
      <c r="M188" s="53"/>
      <c r="P188" s="53"/>
      <c r="Q188" s="53"/>
      <c r="R188" s="53"/>
      <c r="S188" s="53"/>
      <c r="AN188" s="41"/>
      <c r="AP188" s="41"/>
      <c r="AR188" s="41"/>
    </row>
    <row r="189" spans="1:44" ht="15.6">
      <c r="A189" s="45"/>
      <c r="B189" s="44"/>
      <c r="C189" s="44"/>
      <c r="D189" s="45"/>
      <c r="E189" s="47"/>
      <c r="F189" s="50"/>
      <c r="G189" s="46"/>
      <c r="H189" s="47"/>
      <c r="I189" s="49"/>
      <c r="J189" s="64"/>
      <c r="K189" s="91"/>
      <c r="M189" s="53"/>
      <c r="P189" s="53"/>
      <c r="Q189" s="53"/>
      <c r="R189" s="53"/>
      <c r="S189" s="53"/>
      <c r="AN189" s="41"/>
      <c r="AP189" s="41"/>
      <c r="AR189" s="41"/>
    </row>
    <row r="190" spans="1:44" ht="15.6">
      <c r="A190" s="45"/>
      <c r="B190" s="44"/>
      <c r="C190" s="44"/>
      <c r="D190" s="45"/>
      <c r="E190" s="47"/>
      <c r="F190" s="50"/>
      <c r="G190" s="46"/>
      <c r="H190" s="47"/>
      <c r="I190" s="49"/>
      <c r="J190" s="64"/>
      <c r="K190" s="91"/>
      <c r="M190" s="53"/>
      <c r="P190" s="53"/>
      <c r="Q190" s="53"/>
      <c r="R190" s="53"/>
      <c r="S190" s="53"/>
      <c r="AN190" s="41"/>
      <c r="AP190" s="41"/>
      <c r="AR190" s="41"/>
    </row>
    <row r="191" spans="1:44" ht="15.6">
      <c r="A191" s="45"/>
      <c r="B191" s="44"/>
      <c r="C191" s="44"/>
      <c r="D191" s="45"/>
      <c r="E191" s="47"/>
      <c r="F191" s="48"/>
      <c r="G191" s="46"/>
      <c r="H191" s="47"/>
      <c r="I191" s="49"/>
      <c r="J191" s="64"/>
      <c r="K191" s="91"/>
      <c r="M191" s="53"/>
      <c r="P191" s="53"/>
      <c r="Q191" s="53"/>
      <c r="R191" s="53"/>
      <c r="S191" s="53"/>
      <c r="AN191" s="41"/>
      <c r="AP191" s="41"/>
      <c r="AR191" s="41"/>
    </row>
    <row r="192" spans="1:44" ht="15.6">
      <c r="A192" s="45"/>
      <c r="B192" s="44"/>
      <c r="C192" s="44"/>
      <c r="D192" s="45"/>
      <c r="E192" s="47"/>
      <c r="F192" s="50"/>
      <c r="G192" s="46"/>
      <c r="H192" s="47"/>
      <c r="I192" s="49"/>
      <c r="J192" s="64"/>
      <c r="K192" s="91"/>
      <c r="M192" s="53"/>
      <c r="P192" s="53"/>
      <c r="Q192" s="53"/>
      <c r="R192" s="53"/>
      <c r="S192" s="53"/>
      <c r="AN192" s="41"/>
      <c r="AP192" s="41"/>
      <c r="AR192" s="41"/>
    </row>
    <row r="193" spans="1:44" ht="15.6">
      <c r="A193" s="45"/>
      <c r="B193" s="44"/>
      <c r="C193" s="44"/>
      <c r="D193" s="45"/>
      <c r="E193" s="47"/>
      <c r="F193" s="48"/>
      <c r="G193" s="46"/>
      <c r="H193" s="47"/>
      <c r="I193" s="49"/>
      <c r="J193" s="64"/>
      <c r="K193" s="91"/>
      <c r="M193" s="53"/>
      <c r="P193" s="53"/>
      <c r="Q193" s="53"/>
      <c r="R193" s="53"/>
      <c r="S193" s="53"/>
      <c r="AN193" s="41"/>
      <c r="AP193" s="41"/>
      <c r="AR193" s="41"/>
    </row>
    <row r="194" spans="1:44" ht="15.6">
      <c r="A194" s="45"/>
      <c r="B194" s="44"/>
      <c r="C194" s="44"/>
      <c r="D194" s="45"/>
      <c r="E194" s="47"/>
      <c r="F194" s="50"/>
      <c r="G194" s="46"/>
      <c r="H194" s="47"/>
      <c r="I194" s="49"/>
      <c r="J194" s="64"/>
      <c r="K194" s="91"/>
      <c r="M194" s="53"/>
      <c r="P194" s="53"/>
      <c r="Q194" s="53"/>
      <c r="R194" s="53"/>
      <c r="S194" s="53"/>
      <c r="AN194" s="41"/>
      <c r="AP194" s="41"/>
      <c r="AR194" s="41"/>
    </row>
    <row r="195" spans="1:44" ht="15.6">
      <c r="A195" s="45"/>
      <c r="B195" s="44"/>
      <c r="C195" s="44"/>
      <c r="D195" s="45"/>
      <c r="E195" s="47"/>
      <c r="F195" s="48"/>
      <c r="G195" s="46"/>
      <c r="H195" s="47"/>
      <c r="I195" s="49"/>
      <c r="J195" s="64"/>
      <c r="K195" s="91"/>
      <c r="M195" s="53"/>
      <c r="P195" s="53"/>
      <c r="Q195" s="53"/>
      <c r="R195" s="53"/>
      <c r="S195" s="53"/>
      <c r="AN195" s="41"/>
      <c r="AP195" s="41"/>
      <c r="AR195" s="41"/>
    </row>
    <row r="196" spans="1:44" ht="15.6">
      <c r="A196" s="45"/>
      <c r="B196" s="44"/>
      <c r="C196" s="44"/>
      <c r="D196" s="45"/>
      <c r="E196" s="47"/>
      <c r="F196" s="50"/>
      <c r="G196" s="46"/>
      <c r="H196" s="47"/>
      <c r="I196" s="49"/>
      <c r="J196" s="64"/>
      <c r="K196" s="91"/>
      <c r="M196" s="53"/>
      <c r="P196" s="53"/>
      <c r="Q196" s="53"/>
      <c r="R196" s="53"/>
      <c r="S196" s="53"/>
      <c r="AN196" s="41"/>
      <c r="AP196" s="41"/>
      <c r="AR196" s="41"/>
    </row>
    <row r="197" spans="1:44" ht="15.6">
      <c r="A197" s="45"/>
      <c r="B197" s="44"/>
      <c r="C197" s="44"/>
      <c r="D197" s="45"/>
      <c r="E197" s="47"/>
      <c r="F197" s="48"/>
      <c r="G197" s="46"/>
      <c r="H197" s="47"/>
      <c r="I197" s="49"/>
      <c r="J197" s="64"/>
      <c r="K197" s="91"/>
      <c r="M197" s="53"/>
      <c r="P197" s="53"/>
      <c r="Q197" s="53"/>
      <c r="R197" s="53"/>
      <c r="S197" s="53"/>
      <c r="AN197" s="41"/>
      <c r="AP197" s="41"/>
      <c r="AR197" s="41"/>
    </row>
    <row r="198" spans="1:44" ht="15.6">
      <c r="A198" s="45"/>
      <c r="B198" s="44"/>
      <c r="C198" s="44"/>
      <c r="D198" s="45"/>
      <c r="E198" s="47"/>
      <c r="F198" s="50"/>
      <c r="G198" s="46"/>
      <c r="H198" s="47"/>
      <c r="I198" s="49"/>
      <c r="J198" s="64"/>
      <c r="K198" s="91"/>
      <c r="M198" s="53"/>
      <c r="P198" s="53"/>
      <c r="Q198" s="53"/>
      <c r="R198" s="53"/>
      <c r="S198" s="53"/>
      <c r="AN198" s="41"/>
      <c r="AP198" s="41"/>
      <c r="AR198" s="41"/>
    </row>
    <row r="199" spans="1:44" ht="15.6">
      <c r="A199" s="45"/>
      <c r="B199" s="44"/>
      <c r="C199" s="44"/>
      <c r="D199" s="45"/>
      <c r="E199" s="47"/>
      <c r="F199" s="48"/>
      <c r="G199" s="46"/>
      <c r="H199" s="47"/>
      <c r="I199" s="49"/>
      <c r="J199" s="64"/>
      <c r="K199" s="91"/>
      <c r="M199" s="53"/>
      <c r="P199" s="53"/>
      <c r="Q199" s="53"/>
      <c r="R199" s="53"/>
      <c r="S199" s="53"/>
      <c r="AN199" s="41"/>
      <c r="AP199" s="41"/>
      <c r="AR199" s="41"/>
    </row>
    <row r="200" spans="1:44" ht="15.6">
      <c r="A200" s="45"/>
      <c r="B200" s="44"/>
      <c r="C200" s="44"/>
      <c r="D200" s="45"/>
      <c r="E200" s="47"/>
      <c r="F200" s="50"/>
      <c r="G200" s="46"/>
      <c r="H200" s="47"/>
      <c r="I200" s="49"/>
      <c r="J200" s="64"/>
      <c r="K200" s="91"/>
      <c r="M200" s="53"/>
      <c r="P200" s="53"/>
      <c r="Q200" s="53"/>
      <c r="R200" s="53"/>
      <c r="S200" s="53"/>
      <c r="AN200" s="41"/>
      <c r="AP200" s="41"/>
      <c r="AR200" s="41"/>
    </row>
    <row r="201" spans="1:44" ht="15.6">
      <c r="A201" s="45"/>
      <c r="B201" s="44"/>
      <c r="C201" s="44"/>
      <c r="D201" s="45"/>
      <c r="E201" s="47"/>
      <c r="F201" s="48"/>
      <c r="G201" s="46"/>
      <c r="H201" s="47"/>
      <c r="I201" s="49"/>
      <c r="J201" s="64"/>
      <c r="K201" s="91"/>
      <c r="M201" s="53"/>
      <c r="P201" s="53"/>
      <c r="Q201" s="53"/>
      <c r="R201" s="53"/>
      <c r="S201" s="53"/>
      <c r="AN201" s="41"/>
      <c r="AP201" s="41"/>
      <c r="AR201" s="41"/>
    </row>
    <row r="202" spans="1:44" ht="15.6">
      <c r="A202" s="45"/>
      <c r="B202" s="44"/>
      <c r="C202" s="44"/>
      <c r="D202" s="45"/>
      <c r="E202" s="47"/>
      <c r="F202" s="50"/>
      <c r="G202" s="46"/>
      <c r="H202" s="47"/>
      <c r="I202" s="49"/>
      <c r="J202" s="64"/>
      <c r="K202" s="91"/>
      <c r="M202" s="53"/>
      <c r="P202" s="53"/>
      <c r="Q202" s="53"/>
      <c r="R202" s="53"/>
      <c r="S202" s="53"/>
      <c r="AN202" s="41"/>
      <c r="AP202" s="41"/>
      <c r="AR202" s="41"/>
    </row>
    <row r="203" spans="1:44" ht="15.6">
      <c r="A203" s="45"/>
      <c r="B203" s="44"/>
      <c r="C203" s="44"/>
      <c r="D203" s="45"/>
      <c r="E203" s="47"/>
      <c r="F203" s="48"/>
      <c r="G203" s="46"/>
      <c r="H203" s="47"/>
      <c r="I203" s="49"/>
      <c r="J203" s="64"/>
      <c r="K203" s="91"/>
      <c r="M203" s="53"/>
      <c r="P203" s="53"/>
      <c r="Q203" s="53"/>
      <c r="R203" s="53"/>
      <c r="S203" s="53"/>
      <c r="AN203" s="41"/>
      <c r="AP203" s="41"/>
      <c r="AR203" s="41"/>
    </row>
    <row r="204" spans="1:44" ht="15.6">
      <c r="A204" s="45"/>
      <c r="B204" s="44"/>
      <c r="C204" s="44"/>
      <c r="D204" s="45"/>
      <c r="E204" s="47"/>
      <c r="F204" s="50"/>
      <c r="G204" s="46"/>
      <c r="H204" s="47"/>
      <c r="I204" s="49"/>
      <c r="J204" s="64"/>
      <c r="K204" s="91"/>
      <c r="M204" s="53"/>
      <c r="P204" s="53"/>
      <c r="Q204" s="53"/>
      <c r="R204" s="53"/>
      <c r="S204" s="53"/>
      <c r="AN204" s="41"/>
      <c r="AP204" s="41"/>
      <c r="AR204" s="41"/>
    </row>
    <row r="205" spans="1:44" ht="15.6">
      <c r="A205" s="45"/>
      <c r="B205" s="44"/>
      <c r="C205" s="44"/>
      <c r="D205" s="45"/>
      <c r="E205" s="47"/>
      <c r="F205" s="51"/>
      <c r="G205" s="46"/>
      <c r="H205" s="47"/>
      <c r="I205" s="49"/>
      <c r="J205" s="64"/>
      <c r="K205" s="91"/>
      <c r="M205" s="53"/>
      <c r="P205" s="53"/>
      <c r="Q205" s="53"/>
      <c r="R205" s="53"/>
      <c r="S205" s="53"/>
      <c r="AN205" s="41"/>
      <c r="AP205" s="41"/>
      <c r="AR205" s="41"/>
    </row>
    <row r="206" spans="1:44" ht="15.6">
      <c r="A206" s="45"/>
      <c r="B206" s="44"/>
      <c r="C206" s="44"/>
      <c r="D206" s="45"/>
      <c r="E206" s="47"/>
      <c r="F206" s="50"/>
      <c r="G206" s="46"/>
      <c r="H206" s="47"/>
      <c r="I206" s="49"/>
      <c r="J206" s="64"/>
      <c r="K206" s="91"/>
      <c r="M206" s="53"/>
      <c r="P206" s="53"/>
      <c r="Q206" s="53"/>
      <c r="R206" s="53"/>
      <c r="S206" s="53"/>
      <c r="AN206" s="41"/>
      <c r="AP206" s="41"/>
      <c r="AR206" s="41"/>
    </row>
    <row r="207" spans="1:44" ht="15.6">
      <c r="A207" s="45"/>
      <c r="B207" s="44"/>
      <c r="C207" s="44"/>
      <c r="D207" s="45"/>
      <c r="E207" s="47"/>
      <c r="F207" s="51"/>
      <c r="G207" s="46"/>
      <c r="H207" s="47"/>
      <c r="I207" s="49"/>
      <c r="J207" s="64"/>
      <c r="K207" s="91"/>
      <c r="M207" s="53"/>
      <c r="P207" s="53"/>
      <c r="Q207" s="53"/>
      <c r="R207" s="53"/>
      <c r="S207" s="53"/>
      <c r="AN207" s="41"/>
      <c r="AP207" s="41"/>
      <c r="AR207" s="41"/>
    </row>
    <row r="208" spans="1:44" ht="15.6">
      <c r="A208" s="45"/>
      <c r="B208" s="44"/>
      <c r="C208" s="44"/>
      <c r="D208" s="45"/>
      <c r="E208" s="47"/>
      <c r="F208" s="50"/>
      <c r="G208" s="46"/>
      <c r="H208" s="47"/>
      <c r="I208" s="49"/>
      <c r="J208" s="64"/>
      <c r="K208" s="91"/>
      <c r="M208" s="53"/>
      <c r="P208" s="53"/>
      <c r="Q208" s="53"/>
      <c r="R208" s="53"/>
      <c r="S208" s="53"/>
      <c r="AN208" s="41"/>
      <c r="AP208" s="41"/>
      <c r="AR208" s="41"/>
    </row>
    <row r="209" spans="1:44" ht="15.6">
      <c r="A209" s="45"/>
      <c r="B209" s="44"/>
      <c r="C209" s="44"/>
      <c r="D209" s="45"/>
      <c r="E209" s="47"/>
      <c r="F209" s="51"/>
      <c r="G209" s="46"/>
      <c r="H209" s="47"/>
      <c r="I209" s="49"/>
      <c r="J209" s="64"/>
      <c r="K209" s="91"/>
      <c r="M209" s="53"/>
      <c r="P209" s="53"/>
      <c r="Q209" s="53"/>
      <c r="R209" s="53"/>
      <c r="S209" s="53"/>
      <c r="AN209" s="41"/>
      <c r="AP209" s="41"/>
      <c r="AR209" s="41"/>
    </row>
    <row r="210" spans="1:44" ht="15.6">
      <c r="A210" s="45"/>
      <c r="B210" s="44"/>
      <c r="C210" s="44"/>
      <c r="D210" s="45"/>
      <c r="E210" s="47"/>
      <c r="F210" s="50"/>
      <c r="G210" s="46"/>
      <c r="H210" s="47"/>
      <c r="I210" s="49"/>
      <c r="J210" s="64"/>
      <c r="K210" s="91"/>
      <c r="M210" s="53"/>
      <c r="P210" s="53"/>
      <c r="Q210" s="53"/>
      <c r="R210" s="53"/>
      <c r="S210" s="53"/>
      <c r="AN210" s="41"/>
      <c r="AP210" s="41"/>
      <c r="AR210" s="41"/>
    </row>
    <row r="211" spans="1:44" ht="15.6">
      <c r="A211" s="45"/>
      <c r="B211" s="44"/>
      <c r="C211" s="44"/>
      <c r="D211" s="45"/>
      <c r="E211" s="47"/>
      <c r="F211" s="51"/>
      <c r="G211" s="46"/>
      <c r="H211" s="47"/>
      <c r="I211" s="49"/>
      <c r="J211" s="64"/>
      <c r="K211" s="91"/>
      <c r="M211" s="53"/>
      <c r="P211" s="53"/>
      <c r="Q211" s="53"/>
      <c r="R211" s="53"/>
      <c r="S211" s="53"/>
      <c r="AN211" s="41"/>
      <c r="AP211" s="41"/>
      <c r="AR211" s="41"/>
    </row>
    <row r="212" spans="1:44" ht="15.6">
      <c r="A212" s="94"/>
      <c r="B212" s="44"/>
      <c r="C212" s="44"/>
      <c r="D212" s="45"/>
      <c r="E212" s="47"/>
      <c r="F212" s="50"/>
      <c r="G212" s="46"/>
      <c r="H212" s="47"/>
      <c r="I212" s="49"/>
      <c r="J212" s="64"/>
      <c r="K212" s="91"/>
      <c r="M212" s="53"/>
      <c r="P212" s="53"/>
      <c r="Q212" s="53"/>
      <c r="R212" s="53"/>
      <c r="S212" s="53"/>
      <c r="AN212" s="41"/>
      <c r="AP212" s="41"/>
      <c r="AR212" s="41"/>
    </row>
    <row r="213" spans="1:44" ht="15.6">
      <c r="A213" s="45"/>
      <c r="B213" s="44"/>
      <c r="C213" s="44"/>
      <c r="D213" s="45"/>
      <c r="E213" s="47"/>
      <c r="F213" s="48"/>
      <c r="G213" s="46"/>
      <c r="H213" s="47"/>
      <c r="I213" s="49"/>
      <c r="J213" s="64"/>
      <c r="K213" s="91"/>
      <c r="M213" s="53"/>
      <c r="P213" s="53"/>
      <c r="Q213" s="53"/>
      <c r="R213" s="53"/>
      <c r="S213" s="53"/>
      <c r="AN213" s="41"/>
      <c r="AP213" s="41"/>
      <c r="AR213" s="41"/>
    </row>
    <row r="214" spans="1:44">
      <c r="A214" s="1"/>
      <c r="E214" s="42"/>
      <c r="G214" s="40"/>
      <c r="M214" s="53"/>
      <c r="P214" s="53"/>
      <c r="Q214" s="53"/>
      <c r="R214" s="53"/>
      <c r="S214" s="53"/>
    </row>
    <row r="215" spans="1:44">
      <c r="A215" s="1"/>
      <c r="E215" s="42"/>
      <c r="F215" s="42"/>
      <c r="G215" s="40"/>
      <c r="M215" s="53"/>
      <c r="P215" s="53"/>
      <c r="Q215" s="53"/>
      <c r="R215" s="53"/>
      <c r="S215" s="53"/>
    </row>
    <row r="216" spans="1:44">
      <c r="A216" s="1"/>
      <c r="E216" s="42"/>
      <c r="G216" s="40"/>
      <c r="M216" s="53"/>
      <c r="P216" s="53"/>
      <c r="Q216" s="53"/>
      <c r="R216" s="53"/>
      <c r="S216" s="53"/>
    </row>
    <row r="217" spans="1:44">
      <c r="A217" s="1"/>
      <c r="E217" s="42"/>
      <c r="F217" s="42"/>
      <c r="G217" s="40"/>
      <c r="M217" s="53"/>
      <c r="P217" s="53"/>
      <c r="Q217" s="53"/>
      <c r="R217" s="53"/>
      <c r="S217" s="53"/>
    </row>
    <row r="218" spans="1:44">
      <c r="A218" s="1"/>
      <c r="E218" s="42"/>
      <c r="G218" s="40"/>
      <c r="M218" s="53"/>
      <c r="P218" s="53"/>
      <c r="Q218" s="53"/>
      <c r="R218" s="53"/>
      <c r="S218" s="53"/>
    </row>
    <row r="219" spans="1:44">
      <c r="A219" s="1"/>
      <c r="E219" s="42"/>
      <c r="F219" s="42"/>
      <c r="G219" s="40"/>
      <c r="M219" s="53"/>
      <c r="P219" s="53"/>
      <c r="Q219" s="53"/>
      <c r="R219" s="53"/>
      <c r="S219" s="53"/>
    </row>
    <row r="220" spans="1:44">
      <c r="A220" s="1"/>
      <c r="E220" s="42"/>
      <c r="G220" s="40"/>
      <c r="M220" s="53"/>
      <c r="P220" s="53"/>
      <c r="Q220" s="53"/>
      <c r="R220" s="53"/>
      <c r="S220" s="53"/>
    </row>
    <row r="221" spans="1:44">
      <c r="A221" s="1"/>
      <c r="E221" s="42"/>
      <c r="F221" s="42"/>
      <c r="G221" s="40"/>
      <c r="M221" s="53"/>
      <c r="P221" s="53"/>
      <c r="Q221" s="53"/>
      <c r="R221" s="53"/>
      <c r="S221" s="53"/>
    </row>
    <row r="222" spans="1:44">
      <c r="A222" s="1"/>
      <c r="E222" s="42"/>
      <c r="G222" s="40"/>
      <c r="M222" s="53"/>
      <c r="P222" s="53"/>
      <c r="Q222" s="53"/>
      <c r="R222" s="53"/>
      <c r="S222" s="53"/>
    </row>
    <row r="223" spans="1:44">
      <c r="A223" s="1"/>
      <c r="E223" s="42"/>
      <c r="F223" s="42"/>
      <c r="G223" s="40"/>
      <c r="M223" s="53"/>
      <c r="P223" s="53"/>
      <c r="Q223" s="53"/>
      <c r="R223" s="53"/>
      <c r="S223" s="53"/>
    </row>
    <row r="224" spans="1:44">
      <c r="A224" s="1"/>
      <c r="E224" s="42"/>
      <c r="G224" s="40"/>
      <c r="M224" s="53"/>
      <c r="P224" s="53"/>
      <c r="Q224" s="53"/>
      <c r="R224" s="53"/>
      <c r="S224" s="53"/>
    </row>
    <row r="225" spans="1:19">
      <c r="A225" s="1"/>
      <c r="E225" s="42"/>
      <c r="F225" s="42"/>
      <c r="G225" s="40"/>
      <c r="M225" s="53"/>
      <c r="P225" s="53"/>
      <c r="Q225" s="53"/>
      <c r="R225" s="53"/>
      <c r="S225" s="53"/>
    </row>
    <row r="226" spans="1:19">
      <c r="A226" s="1"/>
      <c r="E226" s="42"/>
      <c r="G226" s="40"/>
      <c r="M226" s="53"/>
      <c r="P226" s="53"/>
      <c r="Q226" s="53"/>
      <c r="R226" s="53"/>
      <c r="S226" s="53"/>
    </row>
    <row r="227" spans="1:19">
      <c r="A227" s="1"/>
      <c r="E227" s="42"/>
      <c r="F227" s="42"/>
      <c r="G227" s="40"/>
      <c r="M227" s="53"/>
      <c r="P227" s="53"/>
      <c r="Q227" s="53"/>
      <c r="R227" s="53"/>
      <c r="S227" s="53"/>
    </row>
    <row r="228" spans="1:19">
      <c r="A228" s="1"/>
      <c r="E228" s="42"/>
      <c r="G228" s="40"/>
      <c r="M228" s="53"/>
      <c r="P228" s="53"/>
      <c r="Q228" s="53"/>
      <c r="R228" s="53"/>
      <c r="S228" s="53"/>
    </row>
    <row r="229" spans="1:19">
      <c r="A229" s="1"/>
      <c r="E229" s="42"/>
      <c r="F229" s="42"/>
      <c r="G229" s="40"/>
      <c r="M229" s="53"/>
      <c r="P229" s="53"/>
      <c r="Q229" s="53"/>
      <c r="R229" s="53"/>
      <c r="S229" s="53"/>
    </row>
    <row r="230" spans="1:19">
      <c r="A230" s="1"/>
      <c r="E230" s="42"/>
      <c r="G230" s="40"/>
      <c r="M230" s="53"/>
      <c r="P230" s="53"/>
      <c r="Q230" s="53"/>
      <c r="R230" s="53"/>
      <c r="S230" s="53"/>
    </row>
    <row r="231" spans="1:19">
      <c r="A231" s="1"/>
      <c r="E231" s="42"/>
      <c r="F231" s="42"/>
      <c r="G231" s="40"/>
      <c r="M231" s="53"/>
      <c r="P231" s="53"/>
      <c r="Q231" s="53"/>
      <c r="R231" s="53"/>
      <c r="S231" s="53"/>
    </row>
    <row r="232" spans="1:19">
      <c r="A232" s="1"/>
      <c r="E232" s="42"/>
      <c r="G232" s="40"/>
      <c r="M232" s="53"/>
      <c r="P232" s="53"/>
      <c r="Q232" s="53"/>
      <c r="R232" s="53"/>
      <c r="S232" s="53"/>
    </row>
    <row r="233" spans="1:19">
      <c r="A233" s="1"/>
      <c r="E233" s="42"/>
      <c r="F233" s="42"/>
      <c r="G233" s="40"/>
      <c r="M233" s="53"/>
      <c r="P233" s="53"/>
      <c r="Q233" s="53"/>
      <c r="R233" s="53"/>
      <c r="S233" s="53"/>
    </row>
    <row r="234" spans="1:19">
      <c r="A234" s="1"/>
      <c r="E234" s="42"/>
      <c r="G234" s="40"/>
      <c r="M234" s="53"/>
      <c r="P234" s="53"/>
      <c r="Q234" s="53"/>
      <c r="R234" s="53"/>
      <c r="S234" s="53"/>
    </row>
    <row r="235" spans="1:19">
      <c r="A235" s="1"/>
      <c r="E235" s="42"/>
      <c r="F235" s="42"/>
      <c r="G235" s="40"/>
      <c r="M235" s="53"/>
      <c r="P235" s="53"/>
      <c r="Q235" s="53"/>
      <c r="R235" s="53"/>
      <c r="S235" s="53"/>
    </row>
    <row r="236" spans="1:19">
      <c r="A236" s="1"/>
      <c r="E236" s="42"/>
      <c r="G236" s="40"/>
      <c r="M236" s="53"/>
      <c r="P236" s="53"/>
      <c r="Q236" s="53"/>
      <c r="R236" s="53"/>
      <c r="S236" s="53"/>
    </row>
    <row r="237" spans="1:19">
      <c r="A237" s="1"/>
      <c r="E237" s="42"/>
      <c r="F237" s="42"/>
      <c r="G237" s="40"/>
      <c r="M237" s="53"/>
      <c r="P237" s="53"/>
      <c r="Q237" s="53"/>
      <c r="R237" s="53"/>
      <c r="S237" s="53"/>
    </row>
    <row r="238" spans="1:19">
      <c r="A238" s="1"/>
      <c r="E238" s="42"/>
      <c r="G238" s="40"/>
      <c r="M238" s="53"/>
      <c r="P238" s="53"/>
      <c r="Q238" s="53"/>
      <c r="R238" s="53"/>
      <c r="S238" s="53"/>
    </row>
    <row r="239" spans="1:19">
      <c r="A239" s="1"/>
      <c r="E239" s="42"/>
      <c r="F239" s="42"/>
      <c r="G239" s="40"/>
      <c r="M239" s="53"/>
      <c r="P239" s="53"/>
      <c r="Q239" s="53"/>
      <c r="R239" s="53"/>
      <c r="S239" s="53"/>
    </row>
    <row r="240" spans="1:19">
      <c r="A240" s="1"/>
      <c r="E240" s="42"/>
      <c r="G240" s="40"/>
      <c r="M240" s="53"/>
      <c r="P240" s="53"/>
      <c r="Q240" s="53"/>
      <c r="R240" s="53"/>
      <c r="S240" s="53"/>
    </row>
    <row r="241" spans="1:19">
      <c r="A241" s="1"/>
      <c r="E241" s="42"/>
      <c r="F241" s="42"/>
      <c r="G241" s="40"/>
      <c r="M241" s="53"/>
      <c r="P241" s="53"/>
      <c r="Q241" s="53"/>
      <c r="R241" s="53"/>
      <c r="S241" s="53"/>
    </row>
    <row r="242" spans="1:19">
      <c r="A242" s="1"/>
      <c r="E242" s="42"/>
      <c r="G242" s="40"/>
      <c r="M242" s="53"/>
      <c r="P242" s="53"/>
      <c r="Q242" s="53"/>
      <c r="R242" s="53"/>
      <c r="S242" s="53"/>
    </row>
    <row r="243" spans="1:19">
      <c r="A243" s="1"/>
      <c r="E243" s="42"/>
      <c r="F243" s="42"/>
      <c r="G243" s="40"/>
      <c r="M243" s="53"/>
      <c r="P243" s="53"/>
      <c r="Q243" s="53"/>
      <c r="R243" s="53"/>
      <c r="S243" s="53"/>
    </row>
    <row r="244" spans="1:19">
      <c r="A244" s="1"/>
      <c r="E244" s="42"/>
      <c r="G244" s="40"/>
      <c r="M244" s="53"/>
      <c r="P244" s="53"/>
      <c r="Q244" s="53"/>
      <c r="R244" s="53"/>
      <c r="S244" s="53"/>
    </row>
    <row r="245" spans="1:19">
      <c r="A245" s="1"/>
      <c r="E245" s="42"/>
      <c r="F245" s="42"/>
      <c r="G245" s="40"/>
      <c r="M245" s="53"/>
      <c r="P245" s="53"/>
      <c r="Q245" s="53"/>
      <c r="R245" s="53"/>
      <c r="S245" s="53"/>
    </row>
    <row r="246" spans="1:19">
      <c r="A246" s="1"/>
      <c r="E246" s="42"/>
      <c r="G246" s="40"/>
      <c r="M246" s="53"/>
      <c r="P246" s="53"/>
      <c r="Q246" s="53"/>
      <c r="R246" s="53"/>
      <c r="S246" s="53"/>
    </row>
    <row r="247" spans="1:19">
      <c r="A247" s="1"/>
      <c r="E247" s="42"/>
      <c r="F247" s="42"/>
      <c r="G247" s="40"/>
      <c r="M247" s="53"/>
      <c r="P247" s="53"/>
      <c r="Q247" s="53"/>
      <c r="R247" s="53"/>
      <c r="S247" s="53"/>
    </row>
    <row r="248" spans="1:19">
      <c r="A248" s="1"/>
      <c r="E248" s="42"/>
      <c r="G248" s="40"/>
      <c r="M248" s="53"/>
      <c r="P248" s="53"/>
      <c r="Q248" s="53"/>
      <c r="R248" s="53"/>
      <c r="S248" s="53"/>
    </row>
    <row r="249" spans="1:19">
      <c r="A249" s="1"/>
      <c r="E249" s="42"/>
      <c r="F249" s="42"/>
      <c r="G249" s="40"/>
      <c r="M249" s="53"/>
      <c r="P249" s="53"/>
      <c r="Q249" s="53"/>
      <c r="R249" s="53"/>
      <c r="S249" s="53"/>
    </row>
    <row r="250" spans="1:19">
      <c r="A250" s="1"/>
      <c r="E250" s="42"/>
      <c r="G250" s="40"/>
      <c r="M250" s="53"/>
      <c r="P250" s="53"/>
      <c r="Q250" s="53"/>
      <c r="R250" s="53"/>
      <c r="S250" s="53"/>
    </row>
    <row r="251" spans="1:19">
      <c r="A251" s="1"/>
      <c r="E251" s="42"/>
      <c r="F251" s="42"/>
      <c r="G251" s="40"/>
      <c r="M251" s="53"/>
      <c r="P251" s="53"/>
      <c r="Q251" s="53"/>
      <c r="R251" s="53"/>
      <c r="S251" s="53"/>
    </row>
    <row r="252" spans="1:19">
      <c r="A252" s="1"/>
      <c r="E252" s="42"/>
      <c r="G252" s="40"/>
      <c r="M252" s="53"/>
      <c r="P252" s="53"/>
      <c r="Q252" s="53"/>
      <c r="R252" s="53"/>
      <c r="S252" s="53"/>
    </row>
    <row r="253" spans="1:19">
      <c r="A253" s="1"/>
      <c r="E253" s="42"/>
      <c r="F253" s="42"/>
      <c r="G253" s="40"/>
      <c r="M253" s="53"/>
      <c r="P253" s="53"/>
      <c r="Q253" s="53"/>
      <c r="R253" s="53"/>
      <c r="S253" s="53"/>
    </row>
    <row r="254" spans="1:19">
      <c r="A254" s="1"/>
      <c r="E254" s="42"/>
      <c r="G254" s="40"/>
      <c r="M254" s="53"/>
      <c r="P254" s="53"/>
      <c r="Q254" s="53"/>
      <c r="R254" s="53"/>
      <c r="S254" s="53"/>
    </row>
    <row r="255" spans="1:19">
      <c r="A255" s="1"/>
      <c r="E255" s="42"/>
      <c r="F255" s="42"/>
      <c r="G255" s="40"/>
      <c r="M255" s="53"/>
      <c r="P255" s="53"/>
      <c r="Q255" s="53"/>
      <c r="R255" s="53"/>
      <c r="S255" s="53"/>
    </row>
    <row r="256" spans="1:19">
      <c r="A256" s="1"/>
      <c r="E256" s="42"/>
      <c r="G256" s="40"/>
      <c r="M256" s="53"/>
      <c r="P256" s="53"/>
      <c r="Q256" s="53"/>
      <c r="R256" s="53"/>
      <c r="S256" s="53"/>
    </row>
    <row r="257" spans="1:19">
      <c r="A257" s="1"/>
      <c r="E257" s="42"/>
      <c r="F257" s="42"/>
      <c r="G257" s="40"/>
      <c r="M257" s="53"/>
      <c r="P257" s="53"/>
      <c r="Q257" s="53"/>
      <c r="R257" s="53"/>
      <c r="S257" s="53"/>
    </row>
    <row r="258" spans="1:19">
      <c r="A258" s="1"/>
      <c r="E258" s="42"/>
      <c r="G258" s="40"/>
      <c r="M258" s="53"/>
      <c r="P258" s="53"/>
      <c r="Q258" s="53"/>
      <c r="R258" s="53"/>
      <c r="S258" s="53"/>
    </row>
    <row r="259" spans="1:19">
      <c r="A259" s="1"/>
      <c r="E259" s="42"/>
      <c r="F259" s="42"/>
      <c r="G259" s="40"/>
      <c r="M259" s="53"/>
      <c r="P259" s="53"/>
      <c r="Q259" s="53"/>
      <c r="R259" s="53"/>
      <c r="S259" s="53"/>
    </row>
    <row r="260" spans="1:19">
      <c r="A260" s="1"/>
      <c r="E260" s="42"/>
      <c r="G260" s="40"/>
      <c r="M260" s="53"/>
      <c r="P260" s="53"/>
      <c r="Q260" s="53"/>
      <c r="R260" s="53"/>
      <c r="S260" s="53"/>
    </row>
    <row r="261" spans="1:19">
      <c r="A261" s="1"/>
      <c r="E261" s="42"/>
      <c r="F261" s="42"/>
      <c r="G261" s="40"/>
      <c r="M261" s="53"/>
      <c r="P261" s="53"/>
      <c r="Q261" s="53"/>
      <c r="R261" s="53"/>
      <c r="S261" s="53"/>
    </row>
    <row r="262" spans="1:19">
      <c r="A262" s="1"/>
      <c r="E262" s="42"/>
      <c r="G262" s="40"/>
      <c r="M262" s="53"/>
      <c r="P262" s="53"/>
      <c r="Q262" s="53"/>
      <c r="R262" s="53"/>
      <c r="S262" s="53"/>
    </row>
    <row r="263" spans="1:19">
      <c r="A263" s="1"/>
      <c r="E263" s="42"/>
      <c r="F263" s="42"/>
      <c r="G263" s="40"/>
      <c r="M263" s="53"/>
      <c r="P263" s="53"/>
      <c r="Q263" s="53"/>
      <c r="R263" s="53"/>
      <c r="S263" s="53"/>
    </row>
    <row r="264" spans="1:19">
      <c r="A264" s="1"/>
      <c r="E264" s="42"/>
      <c r="G264" s="40"/>
      <c r="M264" s="53"/>
      <c r="P264" s="53"/>
      <c r="Q264" s="53"/>
      <c r="R264" s="53"/>
      <c r="S264" s="53"/>
    </row>
    <row r="265" spans="1:19">
      <c r="A265" s="1"/>
      <c r="E265" s="42"/>
      <c r="F265" s="42"/>
      <c r="G265" s="40"/>
      <c r="M265" s="53"/>
      <c r="P265" s="53"/>
      <c r="Q265" s="53"/>
      <c r="R265" s="53"/>
      <c r="S265" s="53"/>
    </row>
    <row r="266" spans="1:19">
      <c r="A266" s="1"/>
      <c r="E266" s="42"/>
      <c r="G266" s="40"/>
      <c r="M266" s="53"/>
      <c r="P266" s="53"/>
      <c r="Q266" s="53"/>
      <c r="R266" s="53"/>
      <c r="S266" s="53"/>
    </row>
    <row r="267" spans="1:19">
      <c r="A267" s="1"/>
      <c r="E267" s="42"/>
      <c r="F267" s="42"/>
      <c r="G267" s="40"/>
      <c r="M267" s="53"/>
      <c r="P267" s="53"/>
      <c r="Q267" s="53"/>
      <c r="R267" s="53"/>
      <c r="S267" s="53"/>
    </row>
    <row r="268" spans="1:19">
      <c r="A268" s="1"/>
      <c r="E268" s="42"/>
      <c r="G268" s="40"/>
      <c r="M268" s="53"/>
      <c r="P268" s="53"/>
      <c r="Q268" s="53"/>
      <c r="R268" s="53"/>
      <c r="S268" s="53"/>
    </row>
    <row r="269" spans="1:19">
      <c r="A269" s="1"/>
      <c r="E269" s="42"/>
      <c r="F269" s="42"/>
      <c r="G269" s="40"/>
      <c r="M269" s="53"/>
      <c r="P269" s="53"/>
      <c r="Q269" s="53"/>
      <c r="R269" s="53"/>
      <c r="S269" s="53"/>
    </row>
    <row r="270" spans="1:19">
      <c r="A270" s="1"/>
      <c r="E270" s="42"/>
      <c r="G270" s="40"/>
      <c r="M270" s="53"/>
      <c r="P270" s="53"/>
      <c r="Q270" s="53"/>
      <c r="R270" s="53"/>
      <c r="S270" s="53"/>
    </row>
    <row r="271" spans="1:19">
      <c r="A271" s="1"/>
      <c r="E271" s="42"/>
      <c r="F271" s="42"/>
      <c r="G271" s="40"/>
      <c r="M271" s="53"/>
      <c r="P271" s="53"/>
      <c r="Q271" s="53"/>
      <c r="R271" s="53"/>
      <c r="S271" s="53"/>
    </row>
    <row r="272" spans="1:19">
      <c r="A272" s="1"/>
      <c r="E272" s="42"/>
      <c r="G272" s="40"/>
      <c r="M272" s="53"/>
      <c r="P272" s="53"/>
      <c r="Q272" s="53"/>
      <c r="R272" s="53"/>
      <c r="S272" s="53"/>
    </row>
    <row r="273" spans="1:19">
      <c r="A273" s="1"/>
      <c r="E273" s="42"/>
      <c r="F273" s="42"/>
      <c r="G273" s="40"/>
      <c r="M273" s="53"/>
      <c r="P273" s="53"/>
      <c r="Q273" s="53"/>
      <c r="R273" s="53"/>
      <c r="S273" s="53"/>
    </row>
    <row r="274" spans="1:19">
      <c r="A274" s="1"/>
      <c r="E274" s="42"/>
      <c r="G274" s="40"/>
      <c r="M274" s="53"/>
      <c r="P274" s="53"/>
      <c r="Q274" s="53"/>
      <c r="R274" s="53"/>
      <c r="S274" s="53"/>
    </row>
    <row r="275" spans="1:19">
      <c r="A275" s="1"/>
      <c r="E275" s="42"/>
      <c r="F275" s="42"/>
      <c r="G275" s="40"/>
      <c r="M275" s="53"/>
      <c r="P275" s="53"/>
      <c r="Q275" s="53"/>
      <c r="R275" s="53"/>
      <c r="S275" s="53"/>
    </row>
    <row r="276" spans="1:19">
      <c r="A276" s="1"/>
      <c r="E276" s="42"/>
      <c r="G276" s="40"/>
      <c r="M276" s="53"/>
      <c r="P276" s="53"/>
      <c r="Q276" s="53"/>
      <c r="R276" s="53"/>
      <c r="S276" s="53"/>
    </row>
    <row r="277" spans="1:19">
      <c r="A277" s="1"/>
      <c r="E277" s="42"/>
      <c r="F277" s="42"/>
      <c r="G277" s="40"/>
      <c r="M277" s="53"/>
      <c r="P277" s="53"/>
      <c r="Q277" s="53"/>
      <c r="R277" s="53"/>
      <c r="S277" s="53"/>
    </row>
    <row r="278" spans="1:19">
      <c r="A278" s="1"/>
      <c r="E278" s="42"/>
      <c r="G278" s="40"/>
      <c r="M278" s="53"/>
      <c r="P278" s="53"/>
      <c r="Q278" s="53"/>
      <c r="R278" s="53"/>
      <c r="S278" s="53"/>
    </row>
    <row r="279" spans="1:19">
      <c r="A279" s="1"/>
      <c r="E279" s="42"/>
      <c r="F279" s="42"/>
      <c r="G279" s="40"/>
      <c r="M279" s="53"/>
      <c r="P279" s="53"/>
      <c r="Q279" s="53"/>
      <c r="R279" s="53"/>
      <c r="S279" s="53"/>
    </row>
    <row r="280" spans="1:19">
      <c r="A280" s="1"/>
      <c r="E280" s="42"/>
      <c r="G280" s="40"/>
      <c r="M280" s="53"/>
      <c r="P280" s="53"/>
      <c r="Q280" s="53"/>
      <c r="R280" s="53"/>
      <c r="S280" s="53"/>
    </row>
    <row r="281" spans="1:19">
      <c r="A281" s="1"/>
      <c r="E281" s="42"/>
      <c r="F281" s="42"/>
      <c r="G281" s="40"/>
      <c r="M281" s="53"/>
      <c r="P281" s="53"/>
      <c r="Q281" s="53"/>
      <c r="R281" s="53"/>
      <c r="S281" s="53"/>
    </row>
    <row r="282" spans="1:19">
      <c r="A282" s="1"/>
      <c r="E282" s="42"/>
      <c r="G282" s="40"/>
      <c r="M282" s="53"/>
      <c r="P282" s="53"/>
      <c r="Q282" s="53"/>
      <c r="R282" s="53"/>
      <c r="S282" s="53"/>
    </row>
    <row r="283" spans="1:19">
      <c r="A283" s="1"/>
      <c r="E283" s="42"/>
      <c r="F283" s="42"/>
      <c r="G283" s="40"/>
      <c r="M283" s="53"/>
      <c r="P283" s="53"/>
      <c r="Q283" s="53"/>
      <c r="R283" s="53"/>
      <c r="S283" s="53"/>
    </row>
    <row r="284" spans="1:19">
      <c r="A284" s="1"/>
      <c r="E284" s="42"/>
      <c r="G284" s="40"/>
      <c r="M284" s="53"/>
      <c r="P284" s="53"/>
      <c r="Q284" s="53"/>
      <c r="R284" s="53"/>
      <c r="S284" s="53"/>
    </row>
    <row r="285" spans="1:19">
      <c r="A285" s="1"/>
      <c r="E285" s="42"/>
      <c r="F285" s="42"/>
      <c r="G285" s="40"/>
      <c r="M285" s="53"/>
      <c r="P285" s="53"/>
      <c r="Q285" s="53"/>
      <c r="R285" s="53"/>
      <c r="S285" s="53"/>
    </row>
    <row r="286" spans="1:19">
      <c r="A286" s="1"/>
      <c r="E286" s="42"/>
      <c r="G286" s="40"/>
      <c r="M286" s="53"/>
      <c r="P286" s="53"/>
      <c r="Q286" s="53"/>
      <c r="R286" s="53"/>
      <c r="S286" s="53"/>
    </row>
    <row r="287" spans="1:19">
      <c r="A287" s="1"/>
      <c r="E287" s="42"/>
      <c r="F287" s="42"/>
      <c r="G287" s="40"/>
      <c r="M287" s="53"/>
      <c r="P287" s="53"/>
      <c r="Q287" s="53"/>
      <c r="R287" s="53"/>
      <c r="S287" s="53"/>
    </row>
    <row r="288" spans="1:19">
      <c r="A288" s="1"/>
      <c r="E288" s="42"/>
      <c r="G288" s="40"/>
      <c r="M288" s="53"/>
      <c r="P288" s="53"/>
      <c r="Q288" s="53"/>
      <c r="R288" s="53"/>
      <c r="S288" s="53"/>
    </row>
    <row r="289" spans="1:19">
      <c r="A289" s="1"/>
      <c r="E289" s="42"/>
      <c r="F289" s="42"/>
      <c r="G289" s="40"/>
      <c r="M289" s="53"/>
      <c r="P289" s="53"/>
      <c r="Q289" s="53"/>
      <c r="R289" s="53"/>
      <c r="S289" s="53"/>
    </row>
    <row r="290" spans="1:19">
      <c r="A290" s="1"/>
      <c r="E290" s="42"/>
      <c r="G290" s="40"/>
      <c r="M290" s="53"/>
      <c r="P290" s="53"/>
      <c r="Q290" s="53"/>
      <c r="R290" s="53"/>
      <c r="S290" s="53"/>
    </row>
    <row r="291" spans="1:19">
      <c r="A291" s="1"/>
      <c r="E291" s="42"/>
      <c r="F291" s="42"/>
      <c r="G291" s="40"/>
      <c r="M291" s="53"/>
      <c r="P291" s="53"/>
      <c r="Q291" s="53"/>
      <c r="R291" s="53"/>
      <c r="S291" s="53"/>
    </row>
    <row r="292" spans="1:19">
      <c r="A292" s="1"/>
      <c r="E292" s="42"/>
      <c r="G292" s="40"/>
      <c r="M292" s="53"/>
      <c r="P292" s="53"/>
      <c r="Q292" s="53"/>
      <c r="R292" s="53"/>
      <c r="S292" s="53"/>
    </row>
    <row r="293" spans="1:19">
      <c r="A293" s="1"/>
      <c r="E293" s="42"/>
      <c r="F293" s="42"/>
      <c r="G293" s="40"/>
      <c r="M293" s="53"/>
      <c r="P293" s="53"/>
      <c r="Q293" s="53"/>
      <c r="R293" s="53"/>
      <c r="S293" s="53"/>
    </row>
    <row r="294" spans="1:19">
      <c r="A294" s="1"/>
      <c r="E294" s="42"/>
      <c r="G294" s="40"/>
      <c r="M294" s="53"/>
      <c r="P294" s="53"/>
      <c r="Q294" s="53"/>
      <c r="R294" s="53"/>
      <c r="S294" s="53"/>
    </row>
    <row r="295" spans="1:19">
      <c r="A295" s="1"/>
      <c r="E295" s="42"/>
      <c r="F295" s="42"/>
      <c r="G295" s="40"/>
      <c r="M295" s="53"/>
      <c r="P295" s="53"/>
      <c r="Q295" s="53"/>
      <c r="R295" s="53"/>
      <c r="S295" s="53"/>
    </row>
    <row r="296" spans="1:19">
      <c r="A296" s="1"/>
      <c r="E296" s="42"/>
      <c r="G296" s="40"/>
      <c r="M296" s="53"/>
      <c r="P296" s="53"/>
      <c r="Q296" s="53"/>
      <c r="R296" s="53"/>
      <c r="S296" s="53"/>
    </row>
    <row r="297" spans="1:19">
      <c r="A297" s="1"/>
      <c r="E297" s="42"/>
      <c r="F297" s="42"/>
      <c r="G297" s="40"/>
      <c r="M297" s="53"/>
      <c r="P297" s="53"/>
      <c r="Q297" s="53"/>
      <c r="R297" s="53"/>
      <c r="S297" s="53"/>
    </row>
    <row r="298" spans="1:19">
      <c r="A298" s="1"/>
      <c r="E298" s="42"/>
      <c r="G298" s="40"/>
      <c r="M298" s="53"/>
      <c r="P298" s="53"/>
      <c r="Q298" s="53"/>
      <c r="R298" s="53"/>
      <c r="S298" s="53"/>
    </row>
    <row r="299" spans="1:19">
      <c r="A299" s="1"/>
      <c r="E299" s="42"/>
      <c r="F299" s="42"/>
      <c r="G299" s="40"/>
      <c r="M299" s="53"/>
      <c r="P299" s="53"/>
      <c r="Q299" s="53"/>
      <c r="R299" s="53"/>
      <c r="S299" s="53"/>
    </row>
    <row r="300" spans="1:19">
      <c r="A300" s="1"/>
      <c r="E300" s="42"/>
      <c r="G300" s="40"/>
      <c r="M300" s="53"/>
      <c r="P300" s="53"/>
      <c r="Q300" s="53"/>
      <c r="R300" s="53"/>
      <c r="S300" s="53"/>
    </row>
    <row r="301" spans="1:19">
      <c r="A301" s="1"/>
      <c r="E301" s="42"/>
      <c r="F301" s="42"/>
      <c r="G301" s="40"/>
      <c r="M301" s="53"/>
      <c r="P301" s="53"/>
      <c r="Q301" s="53"/>
      <c r="R301" s="53"/>
      <c r="S301" s="53"/>
    </row>
    <row r="302" spans="1:19">
      <c r="A302" s="1"/>
      <c r="E302" s="42"/>
      <c r="G302" s="40"/>
      <c r="M302" s="53"/>
      <c r="P302" s="53"/>
      <c r="Q302" s="53"/>
      <c r="R302" s="53"/>
      <c r="S302" s="53"/>
    </row>
    <row r="303" spans="1:19">
      <c r="A303" s="1"/>
      <c r="E303" s="42"/>
      <c r="F303" s="42"/>
      <c r="G303" s="40"/>
      <c r="M303" s="53"/>
      <c r="P303" s="53"/>
      <c r="Q303" s="53"/>
      <c r="R303" s="53"/>
      <c r="S303" s="53"/>
    </row>
    <row r="304" spans="1:19">
      <c r="A304" s="1"/>
      <c r="E304" s="42"/>
      <c r="G304" s="40"/>
      <c r="M304" s="53"/>
      <c r="P304" s="53"/>
      <c r="Q304" s="53"/>
      <c r="R304" s="53"/>
      <c r="S304" s="53"/>
    </row>
    <row r="305" spans="1:19">
      <c r="A305" s="1"/>
      <c r="E305" s="42"/>
      <c r="F305" s="42"/>
      <c r="G305" s="40"/>
      <c r="M305" s="53"/>
      <c r="P305" s="53"/>
      <c r="Q305" s="53"/>
      <c r="R305" s="53"/>
      <c r="S305" s="53"/>
    </row>
    <row r="306" spans="1:19">
      <c r="A306" s="1"/>
      <c r="E306" s="42"/>
      <c r="G306" s="40"/>
      <c r="M306" s="53"/>
      <c r="P306" s="53"/>
      <c r="Q306" s="53"/>
      <c r="R306" s="53"/>
      <c r="S306" s="53"/>
    </row>
    <row r="307" spans="1:19">
      <c r="A307" s="1"/>
      <c r="E307" s="42"/>
      <c r="F307" s="42"/>
      <c r="G307" s="40"/>
      <c r="M307" s="53"/>
      <c r="P307" s="53"/>
      <c r="Q307" s="53"/>
      <c r="R307" s="53"/>
      <c r="S307" s="53"/>
    </row>
    <row r="308" spans="1:19">
      <c r="A308" s="1"/>
      <c r="E308" s="42"/>
      <c r="G308" s="40"/>
      <c r="M308" s="53"/>
      <c r="P308" s="53"/>
      <c r="Q308" s="53"/>
      <c r="R308" s="53"/>
      <c r="S308" s="53"/>
    </row>
    <row r="309" spans="1:19">
      <c r="A309" s="1"/>
      <c r="E309" s="42"/>
      <c r="F309" s="42"/>
      <c r="G309" s="40"/>
      <c r="M309" s="53"/>
      <c r="P309" s="53"/>
      <c r="Q309" s="53"/>
      <c r="R309" s="53"/>
      <c r="S309" s="53"/>
    </row>
    <row r="310" spans="1:19">
      <c r="A310" s="1"/>
      <c r="E310" s="42"/>
      <c r="G310" s="40"/>
      <c r="M310" s="53"/>
      <c r="P310" s="53"/>
      <c r="Q310" s="53"/>
      <c r="R310" s="53"/>
      <c r="S310" s="53"/>
    </row>
    <row r="311" spans="1:19">
      <c r="A311" s="1"/>
      <c r="E311" s="42"/>
      <c r="F311" s="42"/>
      <c r="G311" s="40"/>
      <c r="M311" s="53"/>
      <c r="P311" s="53"/>
      <c r="Q311" s="53"/>
      <c r="R311" s="53"/>
      <c r="S311" s="53"/>
    </row>
    <row r="312" spans="1:19">
      <c r="A312" s="1"/>
      <c r="E312" s="42"/>
      <c r="G312" s="40"/>
      <c r="M312" s="53"/>
      <c r="P312" s="53"/>
      <c r="Q312" s="53"/>
      <c r="R312" s="53"/>
      <c r="S312" s="53"/>
    </row>
    <row r="313" spans="1:19">
      <c r="A313" s="1"/>
      <c r="E313" s="42"/>
      <c r="F313" s="42"/>
      <c r="G313" s="40"/>
      <c r="M313" s="53"/>
      <c r="P313" s="53"/>
      <c r="Q313" s="53"/>
      <c r="R313" s="53"/>
      <c r="S313" s="53"/>
    </row>
    <row r="314" spans="1:19">
      <c r="A314" s="1"/>
      <c r="E314" s="42"/>
      <c r="G314" s="40"/>
      <c r="M314" s="53"/>
      <c r="P314" s="53"/>
      <c r="Q314" s="53"/>
      <c r="R314" s="53"/>
      <c r="S314" s="53"/>
    </row>
    <row r="315" spans="1:19">
      <c r="A315" s="1"/>
      <c r="E315" s="42"/>
      <c r="F315" s="42"/>
      <c r="G315" s="40"/>
      <c r="M315" s="53"/>
      <c r="P315" s="53"/>
      <c r="Q315" s="53"/>
      <c r="R315" s="53"/>
      <c r="S315" s="53"/>
    </row>
    <row r="316" spans="1:19">
      <c r="A316" s="1"/>
      <c r="E316" s="42"/>
      <c r="G316" s="40"/>
      <c r="M316" s="53"/>
      <c r="P316" s="53"/>
      <c r="Q316" s="53"/>
      <c r="R316" s="53"/>
      <c r="S316" s="53"/>
    </row>
    <row r="317" spans="1:19">
      <c r="A317" s="1"/>
      <c r="E317" s="42"/>
      <c r="F317" s="42"/>
      <c r="G317" s="40"/>
      <c r="M317" s="53"/>
      <c r="P317" s="53"/>
      <c r="Q317" s="53"/>
      <c r="R317" s="53"/>
      <c r="S317" s="53"/>
    </row>
    <row r="318" spans="1:19">
      <c r="A318" s="1"/>
      <c r="E318" s="42"/>
      <c r="G318" s="40"/>
      <c r="M318" s="53"/>
      <c r="P318" s="53"/>
      <c r="Q318" s="53"/>
      <c r="R318" s="53"/>
      <c r="S318" s="53"/>
    </row>
    <row r="319" spans="1:19">
      <c r="A319" s="1"/>
      <c r="E319" s="42"/>
      <c r="F319" s="42"/>
      <c r="G319" s="40"/>
      <c r="M319" s="53"/>
      <c r="P319" s="53"/>
      <c r="Q319" s="53"/>
      <c r="R319" s="53"/>
      <c r="S319" s="53"/>
    </row>
    <row r="320" spans="1:19">
      <c r="A320" s="1"/>
      <c r="E320" s="42"/>
      <c r="G320" s="40"/>
      <c r="M320" s="53"/>
      <c r="P320" s="53"/>
      <c r="Q320" s="53"/>
      <c r="R320" s="53"/>
      <c r="S320" s="53"/>
    </row>
    <row r="321" spans="1:19">
      <c r="A321" s="1"/>
      <c r="E321" s="42"/>
      <c r="F321" s="42"/>
      <c r="G321" s="40"/>
      <c r="M321" s="53"/>
      <c r="P321" s="53"/>
      <c r="Q321" s="53"/>
      <c r="R321" s="53"/>
      <c r="S321" s="53"/>
    </row>
    <row r="322" spans="1:19">
      <c r="A322" s="1"/>
      <c r="E322" s="42"/>
      <c r="G322" s="40"/>
      <c r="M322" s="53"/>
      <c r="P322" s="53"/>
      <c r="Q322" s="53"/>
      <c r="R322" s="53"/>
      <c r="S322" s="53"/>
    </row>
    <row r="323" spans="1:19">
      <c r="A323" s="1"/>
      <c r="E323" s="42"/>
      <c r="F323" s="42"/>
      <c r="G323" s="40"/>
      <c r="M323" s="53"/>
      <c r="P323" s="53"/>
      <c r="Q323" s="53"/>
      <c r="R323" s="53"/>
      <c r="S323" s="53"/>
    </row>
    <row r="324" spans="1:19">
      <c r="A324" s="1"/>
      <c r="E324" s="42"/>
      <c r="G324" s="40"/>
      <c r="M324" s="53"/>
      <c r="P324" s="53"/>
      <c r="Q324" s="53"/>
      <c r="R324" s="53"/>
      <c r="S324" s="53"/>
    </row>
    <row r="325" spans="1:19">
      <c r="A325" s="1"/>
      <c r="E325" s="42"/>
      <c r="F325" s="42"/>
      <c r="G325" s="40"/>
      <c r="M325" s="53"/>
      <c r="P325" s="53"/>
      <c r="Q325" s="53"/>
      <c r="R325" s="53"/>
      <c r="S325" s="53"/>
    </row>
    <row r="326" spans="1:19">
      <c r="A326" s="1"/>
      <c r="E326" s="42"/>
      <c r="G326" s="40"/>
      <c r="M326" s="53"/>
      <c r="P326" s="53"/>
      <c r="Q326" s="53"/>
      <c r="R326" s="53"/>
      <c r="S326" s="53"/>
    </row>
    <row r="327" spans="1:19">
      <c r="A327" s="1"/>
      <c r="E327" s="42"/>
      <c r="F327" s="42"/>
      <c r="G327" s="40"/>
      <c r="M327" s="53"/>
      <c r="P327" s="53"/>
      <c r="Q327" s="53"/>
      <c r="R327" s="53"/>
      <c r="S327" s="53"/>
    </row>
    <row r="328" spans="1:19">
      <c r="A328" s="1"/>
      <c r="E328" s="42"/>
      <c r="G328" s="40"/>
      <c r="M328" s="53"/>
      <c r="P328" s="53"/>
      <c r="Q328" s="53"/>
      <c r="R328" s="53"/>
      <c r="S328" s="53"/>
    </row>
    <row r="329" spans="1:19">
      <c r="A329" s="1"/>
      <c r="E329" s="42"/>
      <c r="F329" s="42"/>
      <c r="G329" s="40"/>
      <c r="M329" s="53"/>
      <c r="P329" s="53"/>
      <c r="Q329" s="53"/>
      <c r="R329" s="53"/>
      <c r="S329" s="53"/>
    </row>
    <row r="330" spans="1:19">
      <c r="A330" s="1"/>
      <c r="E330" s="42"/>
      <c r="G330" s="40"/>
      <c r="M330" s="53"/>
      <c r="P330" s="53"/>
      <c r="Q330" s="53"/>
      <c r="R330" s="53"/>
      <c r="S330" s="53"/>
    </row>
    <row r="331" spans="1:19">
      <c r="A331" s="1"/>
      <c r="E331" s="42"/>
      <c r="F331" s="42"/>
      <c r="G331" s="40"/>
      <c r="M331" s="53"/>
      <c r="P331" s="53"/>
      <c r="Q331" s="53"/>
      <c r="R331" s="53"/>
      <c r="S331" s="53"/>
    </row>
    <row r="332" spans="1:19">
      <c r="A332" s="1"/>
      <c r="E332" s="42"/>
      <c r="G332" s="40"/>
      <c r="M332" s="53"/>
      <c r="P332" s="53"/>
      <c r="Q332" s="53"/>
      <c r="R332" s="53"/>
      <c r="S332" s="53"/>
    </row>
    <row r="333" spans="1:19">
      <c r="A333" s="1"/>
      <c r="E333" s="42"/>
      <c r="F333" s="42"/>
      <c r="G333" s="40"/>
      <c r="M333" s="53"/>
      <c r="P333" s="53"/>
      <c r="Q333" s="53"/>
      <c r="R333" s="53"/>
      <c r="S333" s="53"/>
    </row>
    <row r="334" spans="1:19">
      <c r="A334" s="1"/>
      <c r="E334" s="42"/>
      <c r="G334" s="40"/>
      <c r="M334" s="53"/>
      <c r="P334" s="53"/>
      <c r="Q334" s="53"/>
      <c r="R334" s="53"/>
      <c r="S334" s="53"/>
    </row>
    <row r="335" spans="1:19">
      <c r="A335" s="1"/>
      <c r="E335" s="42"/>
      <c r="F335" s="42"/>
      <c r="G335" s="40"/>
      <c r="M335" s="53"/>
      <c r="P335" s="53"/>
      <c r="Q335" s="53"/>
      <c r="R335" s="53"/>
      <c r="S335" s="53"/>
    </row>
    <row r="336" spans="1:19">
      <c r="A336" s="1"/>
      <c r="E336" s="42"/>
      <c r="G336" s="40"/>
      <c r="M336" s="53"/>
      <c r="P336" s="53"/>
      <c r="Q336" s="53"/>
      <c r="R336" s="53"/>
      <c r="S336" s="53"/>
    </row>
    <row r="337" spans="1:19">
      <c r="A337" s="1"/>
      <c r="E337" s="42"/>
      <c r="F337" s="42"/>
      <c r="G337" s="40"/>
      <c r="M337" s="53"/>
      <c r="P337" s="53"/>
      <c r="Q337" s="53"/>
      <c r="R337" s="53"/>
      <c r="S337" s="53"/>
    </row>
    <row r="338" spans="1:19">
      <c r="A338" s="1"/>
      <c r="E338" s="42"/>
      <c r="G338" s="40"/>
      <c r="M338" s="53"/>
      <c r="P338" s="53"/>
      <c r="Q338" s="53"/>
      <c r="R338" s="53"/>
      <c r="S338" s="53"/>
    </row>
    <row r="339" spans="1:19">
      <c r="A339" s="1"/>
      <c r="E339" s="42"/>
      <c r="F339" s="42"/>
      <c r="G339" s="40"/>
      <c r="M339" s="53"/>
      <c r="P339" s="53"/>
      <c r="Q339" s="53"/>
      <c r="R339" s="53"/>
      <c r="S339" s="53"/>
    </row>
    <row r="340" spans="1:19">
      <c r="A340" s="1"/>
      <c r="E340" s="42"/>
      <c r="G340" s="40"/>
      <c r="M340" s="53"/>
      <c r="P340" s="53"/>
      <c r="Q340" s="53"/>
      <c r="R340" s="53"/>
      <c r="S340" s="53"/>
    </row>
    <row r="341" spans="1:19">
      <c r="A341" s="1"/>
      <c r="E341" s="42"/>
      <c r="F341" s="42"/>
      <c r="G341" s="40"/>
      <c r="M341" s="53"/>
      <c r="P341" s="53"/>
      <c r="Q341" s="53"/>
      <c r="R341" s="53"/>
      <c r="S341" s="53"/>
    </row>
    <row r="342" spans="1:19">
      <c r="A342" s="1"/>
      <c r="E342" s="42"/>
      <c r="G342" s="40"/>
      <c r="M342" s="53"/>
      <c r="P342" s="53"/>
      <c r="Q342" s="53"/>
      <c r="R342" s="53"/>
      <c r="S342" s="53"/>
    </row>
    <row r="343" spans="1:19">
      <c r="A343" s="1"/>
      <c r="E343" s="42"/>
      <c r="F343" s="42"/>
      <c r="G343" s="40"/>
      <c r="M343" s="53"/>
      <c r="P343" s="53"/>
      <c r="Q343" s="53"/>
      <c r="R343" s="53"/>
      <c r="S343" s="53"/>
    </row>
    <row r="344" spans="1:19">
      <c r="A344" s="1"/>
      <c r="E344" s="42"/>
      <c r="G344" s="40"/>
      <c r="M344" s="53"/>
      <c r="P344" s="53"/>
      <c r="Q344" s="53"/>
      <c r="R344" s="53"/>
      <c r="S344" s="53"/>
    </row>
    <row r="345" spans="1:19">
      <c r="A345" s="1"/>
      <c r="E345" s="42"/>
      <c r="F345" s="42"/>
      <c r="G345" s="40"/>
      <c r="M345" s="53"/>
      <c r="P345" s="53"/>
      <c r="Q345" s="53"/>
      <c r="R345" s="53"/>
      <c r="S345" s="53"/>
    </row>
    <row r="346" spans="1:19">
      <c r="A346" s="1"/>
      <c r="E346" s="42"/>
      <c r="G346" s="40"/>
      <c r="M346" s="53"/>
      <c r="P346" s="53"/>
      <c r="Q346" s="53"/>
      <c r="R346" s="53"/>
      <c r="S346" s="53"/>
    </row>
    <row r="347" spans="1:19">
      <c r="A347" s="1"/>
      <c r="E347" s="42"/>
      <c r="F347" s="42"/>
      <c r="G347" s="40"/>
      <c r="M347" s="53"/>
      <c r="P347" s="53"/>
      <c r="Q347" s="53"/>
      <c r="R347" s="53"/>
      <c r="S347" s="53"/>
    </row>
    <row r="348" spans="1:19">
      <c r="A348" s="1"/>
      <c r="E348" s="42"/>
      <c r="G348" s="40"/>
      <c r="M348" s="53"/>
      <c r="P348" s="53"/>
      <c r="Q348" s="53"/>
      <c r="R348" s="53"/>
      <c r="S348" s="53"/>
    </row>
    <row r="349" spans="1:19">
      <c r="A349" s="1"/>
      <c r="E349" s="42"/>
      <c r="F349" s="42"/>
      <c r="G349" s="40"/>
      <c r="M349" s="53"/>
      <c r="P349" s="53"/>
      <c r="Q349" s="53"/>
      <c r="R349" s="53"/>
      <c r="S349" s="53"/>
    </row>
    <row r="350" spans="1:19">
      <c r="A350" s="1"/>
      <c r="E350" s="42"/>
      <c r="G350" s="40"/>
      <c r="M350" s="53"/>
      <c r="P350" s="53"/>
      <c r="Q350" s="53"/>
      <c r="R350" s="53"/>
      <c r="S350" s="53"/>
    </row>
    <row r="351" spans="1:19">
      <c r="A351" s="1"/>
      <c r="E351" s="42"/>
      <c r="F351" s="42"/>
      <c r="G351" s="40"/>
      <c r="M351" s="53"/>
      <c r="P351" s="53"/>
      <c r="Q351" s="53"/>
      <c r="R351" s="53"/>
      <c r="S351" s="53"/>
    </row>
    <row r="352" spans="1:19">
      <c r="A352" s="1"/>
      <c r="E352" s="42"/>
      <c r="G352" s="40"/>
      <c r="M352" s="53"/>
      <c r="P352" s="53"/>
      <c r="Q352" s="53"/>
      <c r="R352" s="53"/>
      <c r="S352" s="53"/>
    </row>
    <row r="353" spans="1:19">
      <c r="A353" s="1"/>
      <c r="E353" s="42"/>
      <c r="F353" s="42"/>
      <c r="G353" s="40"/>
      <c r="M353" s="53"/>
      <c r="P353" s="53"/>
      <c r="Q353" s="53"/>
      <c r="R353" s="53"/>
      <c r="S353" s="53"/>
    </row>
    <row r="354" spans="1:19">
      <c r="A354" s="1"/>
      <c r="E354" s="42"/>
      <c r="G354" s="40"/>
      <c r="M354" s="53"/>
      <c r="P354" s="53"/>
      <c r="Q354" s="53"/>
      <c r="R354" s="53"/>
      <c r="S354" s="53"/>
    </row>
    <row r="355" spans="1:19">
      <c r="A355" s="1"/>
      <c r="E355" s="42"/>
      <c r="F355" s="42"/>
      <c r="G355" s="40"/>
      <c r="M355" s="53"/>
      <c r="P355" s="53"/>
      <c r="Q355" s="53"/>
      <c r="R355" s="53"/>
      <c r="S355" s="53"/>
    </row>
    <row r="356" spans="1:19">
      <c r="A356" s="1"/>
      <c r="E356" s="42"/>
      <c r="G356" s="40"/>
      <c r="M356" s="53"/>
      <c r="P356" s="53"/>
      <c r="Q356" s="53"/>
      <c r="R356" s="53"/>
      <c r="S356" s="53"/>
    </row>
    <row r="357" spans="1:19">
      <c r="A357" s="1"/>
      <c r="E357" s="42"/>
      <c r="F357" s="42"/>
      <c r="G357" s="40"/>
      <c r="M357" s="53"/>
      <c r="P357" s="53"/>
      <c r="Q357" s="53"/>
      <c r="R357" s="53"/>
      <c r="S357" s="53"/>
    </row>
    <row r="358" spans="1:19">
      <c r="A358" s="1"/>
      <c r="E358" s="42"/>
      <c r="G358" s="40"/>
      <c r="M358" s="53"/>
      <c r="P358" s="53"/>
      <c r="Q358" s="53"/>
      <c r="R358" s="53"/>
      <c r="S358" s="53"/>
    </row>
    <row r="359" spans="1:19">
      <c r="A359" s="1"/>
      <c r="E359" s="42"/>
      <c r="F359" s="42"/>
      <c r="G359" s="40"/>
      <c r="M359" s="53"/>
      <c r="P359" s="53"/>
      <c r="Q359" s="53"/>
      <c r="R359" s="53"/>
      <c r="S359" s="53"/>
    </row>
    <row r="360" spans="1:19">
      <c r="A360" s="1"/>
      <c r="E360" s="42"/>
      <c r="G360" s="40"/>
      <c r="M360" s="53"/>
      <c r="P360" s="53"/>
      <c r="Q360" s="53"/>
      <c r="R360" s="53"/>
      <c r="S360" s="53"/>
    </row>
    <row r="361" spans="1:19">
      <c r="A361" s="1"/>
      <c r="E361" s="42"/>
      <c r="F361" s="42"/>
      <c r="G361" s="40"/>
      <c r="M361" s="53"/>
      <c r="P361" s="53"/>
      <c r="Q361" s="53"/>
      <c r="R361" s="53"/>
      <c r="S361" s="53"/>
    </row>
    <row r="362" spans="1:19">
      <c r="A362" s="1"/>
      <c r="E362" s="42"/>
      <c r="G362" s="40"/>
      <c r="M362" s="53"/>
      <c r="P362" s="53"/>
      <c r="Q362" s="53"/>
      <c r="R362" s="53"/>
      <c r="S362" s="53"/>
    </row>
    <row r="363" spans="1:19">
      <c r="A363" s="1"/>
      <c r="E363" s="42"/>
      <c r="F363" s="42"/>
      <c r="G363" s="40"/>
      <c r="M363" s="53"/>
      <c r="P363" s="53"/>
      <c r="Q363" s="53"/>
      <c r="R363" s="53"/>
      <c r="S363" s="53"/>
    </row>
    <row r="364" spans="1:19">
      <c r="A364" s="1"/>
      <c r="E364" s="42"/>
      <c r="G364" s="40"/>
      <c r="M364" s="53"/>
      <c r="P364" s="53"/>
      <c r="Q364" s="53"/>
      <c r="R364" s="53"/>
      <c r="S364" s="53"/>
    </row>
    <row r="365" spans="1:19">
      <c r="A365" s="1"/>
      <c r="E365" s="42"/>
      <c r="F365" s="42"/>
      <c r="G365" s="40"/>
      <c r="M365" s="53"/>
      <c r="P365" s="53"/>
      <c r="Q365" s="53"/>
      <c r="R365" s="53"/>
      <c r="S365" s="53"/>
    </row>
    <row r="366" spans="1:19">
      <c r="A366" s="1"/>
      <c r="E366" s="42"/>
      <c r="G366" s="40"/>
      <c r="M366" s="53"/>
      <c r="P366" s="53"/>
      <c r="Q366" s="53"/>
      <c r="R366" s="53"/>
      <c r="S366" s="53"/>
    </row>
    <row r="367" spans="1:19">
      <c r="A367" s="1"/>
      <c r="E367" s="42"/>
      <c r="F367" s="42"/>
      <c r="G367" s="40"/>
      <c r="M367" s="53"/>
      <c r="P367" s="53"/>
      <c r="Q367" s="53"/>
      <c r="R367" s="53"/>
      <c r="S367" s="53"/>
    </row>
    <row r="368" spans="1:19">
      <c r="A368" s="1"/>
      <c r="E368" s="42"/>
      <c r="G368" s="40"/>
      <c r="M368" s="53"/>
      <c r="P368" s="53"/>
      <c r="Q368" s="53"/>
      <c r="R368" s="53"/>
      <c r="S368" s="53"/>
    </row>
    <row r="369" spans="1:19">
      <c r="A369" s="1"/>
      <c r="E369" s="42"/>
      <c r="F369" s="42"/>
      <c r="G369" s="40"/>
      <c r="M369" s="53"/>
      <c r="P369" s="53"/>
      <c r="Q369" s="53"/>
      <c r="R369" s="53"/>
      <c r="S369" s="53"/>
    </row>
    <row r="370" spans="1:19">
      <c r="A370" s="1"/>
      <c r="E370" s="42"/>
      <c r="G370" s="40"/>
      <c r="M370" s="53"/>
      <c r="P370" s="53"/>
      <c r="Q370" s="53"/>
      <c r="R370" s="53"/>
      <c r="S370" s="53"/>
    </row>
    <row r="371" spans="1:19">
      <c r="A371" s="1"/>
      <c r="E371" s="42"/>
      <c r="F371" s="42"/>
      <c r="G371" s="40"/>
      <c r="M371" s="53"/>
      <c r="P371" s="53"/>
      <c r="Q371" s="53"/>
      <c r="R371" s="53"/>
      <c r="S371" s="53"/>
    </row>
    <row r="372" spans="1:19">
      <c r="A372" s="1"/>
      <c r="E372" s="42"/>
      <c r="G372" s="40"/>
      <c r="M372" s="53"/>
      <c r="P372" s="53"/>
      <c r="Q372" s="53"/>
      <c r="R372" s="53"/>
      <c r="S372" s="53"/>
    </row>
    <row r="373" spans="1:19">
      <c r="A373" s="1"/>
      <c r="E373" s="42"/>
      <c r="F373" s="42"/>
      <c r="G373" s="40"/>
      <c r="M373" s="53"/>
      <c r="P373" s="53"/>
      <c r="Q373" s="53"/>
      <c r="R373" s="53"/>
      <c r="S373" s="53"/>
    </row>
    <row r="374" spans="1:19">
      <c r="A374" s="1"/>
      <c r="E374" s="42"/>
      <c r="G374" s="40"/>
      <c r="M374" s="53"/>
      <c r="P374" s="53"/>
      <c r="Q374" s="53"/>
      <c r="R374" s="53"/>
      <c r="S374" s="53"/>
    </row>
    <row r="375" spans="1:19">
      <c r="A375" s="1"/>
      <c r="E375" s="42"/>
      <c r="F375" s="42"/>
      <c r="G375" s="40"/>
      <c r="M375" s="53"/>
      <c r="P375" s="53"/>
      <c r="Q375" s="53"/>
      <c r="R375" s="53"/>
      <c r="S375" s="53"/>
    </row>
    <row r="376" spans="1:19">
      <c r="A376" s="1"/>
      <c r="E376" s="42"/>
      <c r="G376" s="40"/>
      <c r="M376" s="53"/>
      <c r="P376" s="53"/>
      <c r="Q376" s="53"/>
      <c r="R376" s="53"/>
      <c r="S376" s="53"/>
    </row>
    <row r="377" spans="1:19">
      <c r="A377" s="1"/>
      <c r="E377" s="42"/>
      <c r="F377" s="42"/>
      <c r="G377" s="40"/>
      <c r="M377" s="53"/>
      <c r="P377" s="53"/>
      <c r="Q377" s="53"/>
      <c r="R377" s="53"/>
      <c r="S377" s="53"/>
    </row>
    <row r="378" spans="1:19">
      <c r="A378" s="1"/>
      <c r="E378" s="42"/>
      <c r="G378" s="40"/>
      <c r="M378" s="53"/>
      <c r="P378" s="53"/>
      <c r="Q378" s="53"/>
      <c r="R378" s="53"/>
      <c r="S378" s="53"/>
    </row>
    <row r="379" spans="1:19">
      <c r="A379" s="1"/>
      <c r="E379" s="42"/>
      <c r="F379" s="42"/>
      <c r="G379" s="40"/>
      <c r="M379" s="53"/>
      <c r="P379" s="53"/>
      <c r="Q379" s="53"/>
      <c r="R379" s="53"/>
      <c r="S379" s="53"/>
    </row>
    <row r="380" spans="1:19">
      <c r="A380" s="1"/>
      <c r="E380" s="42"/>
      <c r="G380" s="40"/>
      <c r="M380" s="53"/>
      <c r="P380" s="53"/>
      <c r="Q380" s="53"/>
      <c r="R380" s="53"/>
      <c r="S380" s="53"/>
    </row>
    <row r="381" spans="1:19">
      <c r="A381" s="1"/>
      <c r="E381" s="42"/>
      <c r="F381" s="42"/>
      <c r="G381" s="40"/>
      <c r="M381" s="53"/>
      <c r="P381" s="53"/>
      <c r="Q381" s="53"/>
      <c r="R381" s="53"/>
      <c r="S381" s="53"/>
    </row>
    <row r="382" spans="1:19">
      <c r="A382" s="1"/>
      <c r="E382" s="42"/>
      <c r="G382" s="40"/>
      <c r="M382" s="53"/>
      <c r="P382" s="53"/>
      <c r="Q382" s="53"/>
      <c r="R382" s="53"/>
      <c r="S382" s="53"/>
    </row>
    <row r="383" spans="1:19">
      <c r="A383" s="1"/>
      <c r="E383" s="42"/>
      <c r="F383" s="42"/>
      <c r="G383" s="40"/>
      <c r="M383" s="53"/>
      <c r="P383" s="53"/>
      <c r="Q383" s="53"/>
      <c r="R383" s="53"/>
      <c r="S383" s="53"/>
    </row>
    <row r="384" spans="1:19">
      <c r="A384" s="1"/>
      <c r="E384" s="42"/>
      <c r="G384" s="40"/>
      <c r="M384" s="53"/>
      <c r="P384" s="53"/>
      <c r="Q384" s="53"/>
      <c r="R384" s="53"/>
      <c r="S384" s="53"/>
    </row>
    <row r="385" spans="1:19">
      <c r="A385" s="1"/>
      <c r="E385" s="42"/>
      <c r="F385" s="42"/>
      <c r="G385" s="40"/>
      <c r="M385" s="53"/>
      <c r="P385" s="53"/>
      <c r="Q385" s="53"/>
      <c r="R385" s="53"/>
      <c r="S385" s="53"/>
    </row>
    <row r="386" spans="1:19">
      <c r="A386" s="1"/>
      <c r="E386" s="42"/>
      <c r="G386" s="40"/>
      <c r="M386" s="53"/>
      <c r="P386" s="53"/>
      <c r="Q386" s="53"/>
      <c r="R386" s="53"/>
      <c r="S386" s="53"/>
    </row>
    <row r="387" spans="1:19">
      <c r="A387" s="1"/>
      <c r="E387" s="42"/>
      <c r="F387" s="42"/>
      <c r="G387" s="40"/>
      <c r="M387" s="53"/>
      <c r="P387" s="53"/>
      <c r="Q387" s="53"/>
      <c r="R387" s="53"/>
      <c r="S387" s="53"/>
    </row>
    <row r="388" spans="1:19">
      <c r="A388" s="1"/>
      <c r="E388" s="42"/>
      <c r="G388" s="40"/>
      <c r="M388" s="53"/>
      <c r="P388" s="53"/>
      <c r="Q388" s="53"/>
      <c r="R388" s="53"/>
      <c r="S388" s="53"/>
    </row>
    <row r="389" spans="1:19">
      <c r="A389" s="1"/>
      <c r="E389" s="42"/>
      <c r="F389" s="42"/>
      <c r="G389" s="40"/>
      <c r="M389" s="53"/>
      <c r="P389" s="53"/>
      <c r="Q389" s="53"/>
      <c r="R389" s="53"/>
      <c r="S389" s="53"/>
    </row>
    <row r="390" spans="1:19">
      <c r="A390" s="1"/>
      <c r="E390" s="42"/>
      <c r="G390" s="40"/>
      <c r="M390" s="53"/>
      <c r="P390" s="53"/>
      <c r="Q390" s="53"/>
      <c r="R390" s="53"/>
      <c r="S390" s="53"/>
    </row>
    <row r="391" spans="1:19">
      <c r="A391" s="1"/>
      <c r="E391" s="42"/>
      <c r="F391" s="42"/>
      <c r="G391" s="40"/>
      <c r="M391" s="53"/>
      <c r="P391" s="53"/>
      <c r="Q391" s="53"/>
      <c r="R391" s="53"/>
      <c r="S391" s="53"/>
    </row>
    <row r="392" spans="1:19">
      <c r="A392" s="1"/>
      <c r="E392" s="42"/>
      <c r="G392" s="40"/>
      <c r="M392" s="53"/>
      <c r="P392" s="53"/>
      <c r="Q392" s="53"/>
      <c r="R392" s="53"/>
      <c r="S392" s="53"/>
    </row>
    <row r="393" spans="1:19">
      <c r="A393" s="1"/>
      <c r="E393" s="42"/>
      <c r="F393" s="42"/>
      <c r="G393" s="40"/>
      <c r="M393" s="53"/>
      <c r="P393" s="53"/>
      <c r="Q393" s="53"/>
      <c r="R393" s="53"/>
      <c r="S393" s="53"/>
    </row>
    <row r="394" spans="1:19">
      <c r="A394" s="1"/>
      <c r="E394" s="42"/>
      <c r="G394" s="40"/>
      <c r="M394" s="53"/>
      <c r="P394" s="53"/>
      <c r="Q394" s="53"/>
      <c r="R394" s="53"/>
      <c r="S394" s="53"/>
    </row>
    <row r="395" spans="1:19">
      <c r="A395" s="1"/>
      <c r="E395" s="42"/>
      <c r="F395" s="42"/>
      <c r="G395" s="40"/>
      <c r="M395" s="53"/>
      <c r="P395" s="53"/>
      <c r="Q395" s="53"/>
      <c r="R395" s="53"/>
      <c r="S395" s="53"/>
    </row>
    <row r="396" spans="1:19">
      <c r="A396" s="1"/>
      <c r="E396" s="42"/>
      <c r="G396" s="40"/>
      <c r="M396" s="53"/>
      <c r="P396" s="53"/>
      <c r="Q396" s="53"/>
      <c r="R396" s="53"/>
      <c r="S396" s="53"/>
    </row>
    <row r="397" spans="1:19">
      <c r="A397" s="1"/>
      <c r="E397" s="42"/>
      <c r="F397" s="42"/>
      <c r="G397" s="40"/>
      <c r="M397" s="53"/>
      <c r="P397" s="53"/>
      <c r="Q397" s="53"/>
      <c r="R397" s="53"/>
      <c r="S397" s="53"/>
    </row>
    <row r="398" spans="1:19">
      <c r="A398" s="1"/>
      <c r="E398" s="42"/>
      <c r="G398" s="40"/>
      <c r="M398" s="53"/>
      <c r="P398" s="53"/>
      <c r="Q398" s="53"/>
      <c r="R398" s="53"/>
      <c r="S398" s="53"/>
    </row>
    <row r="399" spans="1:19">
      <c r="A399" s="1"/>
      <c r="E399" s="42"/>
      <c r="F399" s="42"/>
      <c r="G399" s="40"/>
      <c r="M399" s="53"/>
      <c r="P399" s="53"/>
      <c r="Q399" s="53"/>
      <c r="R399" s="53"/>
      <c r="S399" s="53"/>
    </row>
    <row r="400" spans="1:19">
      <c r="A400" s="1"/>
      <c r="E400" s="42"/>
      <c r="G400" s="40"/>
      <c r="M400" s="53"/>
      <c r="P400" s="53"/>
      <c r="Q400" s="53"/>
      <c r="R400" s="53"/>
      <c r="S400" s="53"/>
    </row>
    <row r="401" spans="1:19">
      <c r="A401" s="1"/>
      <c r="E401" s="42"/>
      <c r="F401" s="42"/>
      <c r="G401" s="40"/>
      <c r="M401" s="53"/>
      <c r="P401" s="53"/>
      <c r="Q401" s="53"/>
      <c r="R401" s="53"/>
      <c r="S401" s="53"/>
    </row>
    <row r="402" spans="1:19">
      <c r="A402" s="1"/>
      <c r="E402" s="42"/>
      <c r="G402" s="40"/>
      <c r="M402" s="53"/>
      <c r="P402" s="53"/>
      <c r="Q402" s="53"/>
      <c r="R402" s="53"/>
      <c r="S402" s="53"/>
    </row>
    <row r="403" spans="1:19">
      <c r="A403" s="1"/>
      <c r="E403" s="42"/>
      <c r="F403" s="42"/>
      <c r="G403" s="40"/>
      <c r="M403" s="53"/>
      <c r="P403" s="53"/>
      <c r="Q403" s="53"/>
      <c r="R403" s="53"/>
      <c r="S403" s="53"/>
    </row>
    <row r="404" spans="1:19">
      <c r="A404" s="1"/>
      <c r="E404" s="42"/>
      <c r="G404" s="40"/>
      <c r="M404" s="53"/>
      <c r="P404" s="53"/>
      <c r="Q404" s="53"/>
      <c r="R404" s="53"/>
      <c r="S404" s="53"/>
    </row>
    <row r="405" spans="1:19">
      <c r="A405" s="1"/>
      <c r="E405" s="42"/>
      <c r="F405" s="42"/>
      <c r="G405" s="40"/>
      <c r="M405" s="53"/>
      <c r="P405" s="53"/>
      <c r="Q405" s="53"/>
      <c r="R405" s="53"/>
      <c r="S405" s="53"/>
    </row>
    <row r="406" spans="1:19">
      <c r="A406" s="1"/>
      <c r="E406" s="42"/>
      <c r="G406" s="40"/>
      <c r="M406" s="53"/>
      <c r="P406" s="53"/>
      <c r="Q406" s="53"/>
      <c r="R406" s="53"/>
      <c r="S406" s="53"/>
    </row>
    <row r="407" spans="1:19">
      <c r="A407" s="1"/>
      <c r="E407" s="42"/>
      <c r="F407" s="42"/>
      <c r="G407" s="40"/>
      <c r="M407" s="53"/>
      <c r="P407" s="53"/>
      <c r="Q407" s="53"/>
      <c r="R407" s="53"/>
      <c r="S407" s="53"/>
    </row>
    <row r="408" spans="1:19">
      <c r="A408" s="1"/>
      <c r="E408" s="42"/>
      <c r="G408" s="40"/>
      <c r="M408" s="53"/>
      <c r="P408" s="53"/>
      <c r="Q408" s="53"/>
      <c r="R408" s="53"/>
      <c r="S408" s="53"/>
    </row>
    <row r="409" spans="1:19">
      <c r="A409" s="1"/>
      <c r="E409" s="42"/>
      <c r="F409" s="42"/>
      <c r="G409" s="40"/>
      <c r="M409" s="53"/>
      <c r="P409" s="53"/>
      <c r="Q409" s="53"/>
      <c r="R409" s="53"/>
      <c r="S409" s="53"/>
    </row>
    <row r="410" spans="1:19">
      <c r="A410" s="1"/>
      <c r="E410" s="42"/>
      <c r="G410" s="40"/>
      <c r="M410" s="53"/>
      <c r="P410" s="53"/>
      <c r="Q410" s="53"/>
      <c r="R410" s="53"/>
      <c r="S410" s="53"/>
    </row>
    <row r="411" spans="1:19">
      <c r="A411" s="1"/>
      <c r="E411" s="42"/>
      <c r="F411" s="42"/>
      <c r="G411" s="40"/>
      <c r="M411" s="53"/>
      <c r="P411" s="53"/>
      <c r="Q411" s="53"/>
      <c r="R411" s="53"/>
      <c r="S411" s="53"/>
    </row>
    <row r="412" spans="1:19">
      <c r="A412" s="1"/>
      <c r="E412" s="42"/>
      <c r="G412" s="40"/>
      <c r="M412" s="53"/>
      <c r="P412" s="53"/>
      <c r="Q412" s="53"/>
      <c r="R412" s="53"/>
      <c r="S412" s="53"/>
    </row>
    <row r="413" spans="1:19">
      <c r="A413" s="1"/>
      <c r="E413" s="42"/>
      <c r="F413" s="42"/>
      <c r="G413" s="40"/>
      <c r="M413" s="53"/>
      <c r="P413" s="53"/>
      <c r="Q413" s="53"/>
      <c r="R413" s="53"/>
      <c r="S413" s="53"/>
    </row>
    <row r="414" spans="1:19">
      <c r="A414" s="1"/>
      <c r="E414" s="42"/>
      <c r="G414" s="40"/>
      <c r="M414" s="53"/>
      <c r="P414" s="53"/>
      <c r="Q414" s="53"/>
      <c r="R414" s="53"/>
      <c r="S414" s="53"/>
    </row>
    <row r="415" spans="1:19">
      <c r="A415" s="1"/>
      <c r="E415" s="42"/>
      <c r="F415" s="42"/>
      <c r="G415" s="40"/>
      <c r="M415" s="53"/>
      <c r="P415" s="53"/>
      <c r="Q415" s="53"/>
      <c r="R415" s="53"/>
      <c r="S415" s="53"/>
    </row>
    <row r="416" spans="1:19">
      <c r="A416" s="1"/>
      <c r="E416" s="42"/>
      <c r="G416" s="40"/>
      <c r="M416" s="53"/>
      <c r="P416" s="53"/>
      <c r="Q416" s="53"/>
      <c r="R416" s="53"/>
      <c r="S416" s="53"/>
    </row>
    <row r="417" spans="1:19">
      <c r="A417" s="1"/>
      <c r="E417" s="42"/>
      <c r="F417" s="42"/>
      <c r="G417" s="40"/>
      <c r="M417" s="53"/>
      <c r="P417" s="53"/>
      <c r="Q417" s="53"/>
      <c r="R417" s="53"/>
      <c r="S417" s="53"/>
    </row>
    <row r="418" spans="1:19">
      <c r="A418" s="1"/>
      <c r="E418" s="42"/>
      <c r="G418" s="40"/>
      <c r="M418" s="53"/>
      <c r="P418" s="53"/>
      <c r="Q418" s="53"/>
      <c r="R418" s="53"/>
      <c r="S418" s="53"/>
    </row>
    <row r="419" spans="1:19">
      <c r="A419" s="1"/>
      <c r="E419" s="42"/>
      <c r="F419" s="42"/>
      <c r="G419" s="40"/>
      <c r="M419" s="53"/>
      <c r="P419" s="53"/>
      <c r="Q419" s="53"/>
      <c r="R419" s="53"/>
      <c r="S419" s="53"/>
    </row>
    <row r="420" spans="1:19">
      <c r="A420" s="1"/>
      <c r="E420" s="42"/>
      <c r="G420" s="40"/>
      <c r="M420" s="53"/>
      <c r="P420" s="53"/>
      <c r="Q420" s="53"/>
      <c r="R420" s="53"/>
      <c r="S420" s="53"/>
    </row>
    <row r="421" spans="1:19">
      <c r="A421" s="1"/>
      <c r="E421" s="42"/>
      <c r="F421" s="42"/>
      <c r="G421" s="40"/>
      <c r="M421" s="53"/>
      <c r="P421" s="53"/>
      <c r="Q421" s="53"/>
      <c r="R421" s="53"/>
      <c r="S421" s="53"/>
    </row>
    <row r="422" spans="1:19">
      <c r="A422" s="1"/>
      <c r="E422" s="42"/>
      <c r="G422" s="40"/>
      <c r="M422" s="53"/>
      <c r="P422" s="53"/>
      <c r="Q422" s="53"/>
      <c r="R422" s="53"/>
      <c r="S422" s="53"/>
    </row>
    <row r="423" spans="1:19">
      <c r="A423" s="1"/>
      <c r="E423" s="42"/>
      <c r="F423" s="42"/>
      <c r="G423" s="40"/>
      <c r="M423" s="53"/>
      <c r="P423" s="53"/>
      <c r="Q423" s="53"/>
      <c r="R423" s="53"/>
      <c r="S423" s="53"/>
    </row>
    <row r="424" spans="1:19">
      <c r="A424" s="1"/>
      <c r="E424" s="42"/>
      <c r="G424" s="40"/>
      <c r="M424" s="53"/>
      <c r="P424" s="53"/>
      <c r="Q424" s="53"/>
      <c r="R424" s="53"/>
      <c r="S424" s="53"/>
    </row>
    <row r="425" spans="1:19">
      <c r="A425" s="1"/>
      <c r="E425" s="42"/>
      <c r="F425" s="42"/>
      <c r="G425" s="40"/>
      <c r="M425" s="53"/>
      <c r="P425" s="53"/>
      <c r="Q425" s="53"/>
      <c r="R425" s="53"/>
      <c r="S425" s="53"/>
    </row>
    <row r="426" spans="1:19">
      <c r="A426" s="1"/>
      <c r="E426" s="42"/>
      <c r="G426" s="40"/>
      <c r="M426" s="53"/>
      <c r="P426" s="53"/>
      <c r="Q426" s="53"/>
      <c r="R426" s="53"/>
      <c r="S426" s="53"/>
    </row>
    <row r="427" spans="1:19">
      <c r="A427" s="1"/>
      <c r="E427" s="42"/>
      <c r="F427" s="42"/>
      <c r="G427" s="40"/>
      <c r="M427" s="53"/>
      <c r="P427" s="53"/>
      <c r="Q427" s="53"/>
      <c r="R427" s="53"/>
      <c r="S427" s="53"/>
    </row>
    <row r="428" spans="1:19">
      <c r="A428" s="1"/>
      <c r="E428" s="42"/>
      <c r="G428" s="40"/>
      <c r="M428" s="53"/>
      <c r="P428" s="53"/>
      <c r="Q428" s="53"/>
      <c r="R428" s="53"/>
      <c r="S428" s="53"/>
    </row>
    <row r="429" spans="1:19">
      <c r="A429" s="1"/>
      <c r="E429" s="42"/>
      <c r="F429" s="42"/>
      <c r="G429" s="40"/>
      <c r="M429" s="53"/>
      <c r="P429" s="53"/>
      <c r="Q429" s="53"/>
      <c r="R429" s="53"/>
      <c r="S429" s="53"/>
    </row>
    <row r="430" spans="1:19">
      <c r="A430" s="1"/>
      <c r="E430" s="42"/>
      <c r="G430" s="40"/>
      <c r="M430" s="53"/>
      <c r="P430" s="53"/>
      <c r="Q430" s="53"/>
      <c r="R430" s="53"/>
      <c r="S430" s="53"/>
    </row>
    <row r="431" spans="1:19">
      <c r="A431" s="1"/>
      <c r="E431" s="42"/>
      <c r="F431" s="42"/>
      <c r="G431" s="40"/>
      <c r="M431" s="53"/>
      <c r="P431" s="53"/>
      <c r="Q431" s="53"/>
      <c r="R431" s="53"/>
      <c r="S431" s="53"/>
    </row>
    <row r="432" spans="1:19">
      <c r="A432" s="1"/>
      <c r="E432" s="42"/>
      <c r="G432" s="40"/>
      <c r="M432" s="53"/>
      <c r="P432" s="53"/>
      <c r="Q432" s="53"/>
      <c r="R432" s="53"/>
      <c r="S432" s="53"/>
    </row>
    <row r="433" spans="1:19">
      <c r="A433" s="1"/>
      <c r="E433" s="42"/>
      <c r="F433" s="42"/>
      <c r="G433" s="40"/>
      <c r="M433" s="53"/>
      <c r="P433" s="53"/>
      <c r="Q433" s="53"/>
      <c r="R433" s="53"/>
      <c r="S433" s="53"/>
    </row>
    <row r="434" spans="1:19">
      <c r="A434" s="1"/>
      <c r="E434" s="42"/>
      <c r="G434" s="40"/>
      <c r="M434" s="53"/>
      <c r="P434" s="53"/>
      <c r="Q434" s="53"/>
      <c r="R434" s="53"/>
      <c r="S434" s="53"/>
    </row>
    <row r="435" spans="1:19">
      <c r="A435" s="1"/>
      <c r="E435" s="42"/>
      <c r="F435" s="42"/>
      <c r="G435" s="40"/>
      <c r="M435" s="53"/>
      <c r="P435" s="53"/>
      <c r="Q435" s="53"/>
      <c r="R435" s="53"/>
      <c r="S435" s="53"/>
    </row>
    <row r="436" spans="1:19">
      <c r="A436" s="1"/>
      <c r="E436" s="42"/>
      <c r="G436" s="40"/>
      <c r="M436" s="53"/>
      <c r="P436" s="53"/>
      <c r="Q436" s="53"/>
      <c r="R436" s="53"/>
      <c r="S436" s="53"/>
    </row>
    <row r="437" spans="1:19">
      <c r="A437" s="1"/>
      <c r="E437" s="42"/>
      <c r="F437" s="42"/>
      <c r="G437" s="40"/>
      <c r="M437" s="53"/>
      <c r="P437" s="53"/>
      <c r="Q437" s="53"/>
      <c r="R437" s="53"/>
      <c r="S437" s="53"/>
    </row>
    <row r="438" spans="1:19">
      <c r="A438" s="1"/>
      <c r="E438" s="42"/>
      <c r="G438" s="40"/>
      <c r="M438" s="53"/>
      <c r="P438" s="53"/>
      <c r="Q438" s="53"/>
      <c r="R438" s="53"/>
      <c r="S438" s="53"/>
    </row>
    <row r="439" spans="1:19">
      <c r="A439" s="1"/>
      <c r="E439" s="42"/>
      <c r="F439" s="42"/>
      <c r="G439" s="40"/>
      <c r="M439" s="53"/>
      <c r="P439" s="53"/>
      <c r="Q439" s="53"/>
      <c r="R439" s="53"/>
      <c r="S439" s="53"/>
    </row>
    <row r="440" spans="1:19">
      <c r="A440" s="1"/>
      <c r="E440" s="42"/>
      <c r="G440" s="40"/>
      <c r="M440" s="53"/>
      <c r="P440" s="53"/>
      <c r="Q440" s="53"/>
      <c r="R440" s="53"/>
      <c r="S440" s="53"/>
    </row>
    <row r="441" spans="1:19">
      <c r="A441" s="1"/>
      <c r="E441" s="42"/>
      <c r="F441" s="42"/>
      <c r="G441" s="40"/>
      <c r="M441" s="53"/>
      <c r="P441" s="53"/>
      <c r="Q441" s="53"/>
      <c r="R441" s="53"/>
      <c r="S441" s="53"/>
    </row>
    <row r="442" spans="1:19">
      <c r="A442" s="1"/>
      <c r="E442" s="42"/>
      <c r="G442" s="40"/>
      <c r="M442" s="53"/>
      <c r="P442" s="53"/>
      <c r="Q442" s="53"/>
      <c r="R442" s="53"/>
      <c r="S442" s="53"/>
    </row>
    <row r="443" spans="1:19">
      <c r="A443" s="1"/>
      <c r="E443" s="42"/>
      <c r="F443" s="42"/>
      <c r="G443" s="40"/>
      <c r="M443" s="53"/>
      <c r="P443" s="53"/>
      <c r="Q443" s="53"/>
      <c r="R443" s="53"/>
      <c r="S443" s="53"/>
    </row>
    <row r="444" spans="1:19">
      <c r="A444" s="1"/>
      <c r="E444" s="42"/>
      <c r="G444" s="40"/>
      <c r="M444" s="53"/>
      <c r="P444" s="53"/>
      <c r="Q444" s="53"/>
      <c r="R444" s="53"/>
      <c r="S444" s="53"/>
    </row>
    <row r="445" spans="1:19">
      <c r="A445" s="1"/>
      <c r="E445" s="42"/>
      <c r="F445" s="42"/>
      <c r="G445" s="40"/>
      <c r="M445" s="53"/>
      <c r="P445" s="53"/>
      <c r="Q445" s="53"/>
      <c r="R445" s="53"/>
      <c r="S445" s="53"/>
    </row>
    <row r="446" spans="1:19">
      <c r="A446" s="1"/>
      <c r="E446" s="42"/>
      <c r="G446" s="40"/>
      <c r="M446" s="53"/>
      <c r="P446" s="53"/>
      <c r="Q446" s="53"/>
      <c r="R446" s="53"/>
      <c r="S446" s="53"/>
    </row>
    <row r="447" spans="1:19">
      <c r="A447" s="1"/>
      <c r="E447" s="42"/>
      <c r="F447" s="42"/>
      <c r="G447" s="40"/>
      <c r="M447" s="53"/>
      <c r="P447" s="53"/>
      <c r="Q447" s="53"/>
      <c r="R447" s="53"/>
      <c r="S447" s="53"/>
    </row>
    <row r="448" spans="1:19">
      <c r="A448" s="1"/>
      <c r="E448" s="42"/>
      <c r="G448" s="40"/>
      <c r="M448" s="53"/>
      <c r="P448" s="53"/>
      <c r="Q448" s="53"/>
      <c r="R448" s="53"/>
      <c r="S448" s="53"/>
    </row>
    <row r="449" spans="1:19">
      <c r="A449" s="1"/>
      <c r="E449" s="42"/>
      <c r="F449" s="42"/>
      <c r="G449" s="40"/>
      <c r="M449" s="53"/>
      <c r="P449" s="53"/>
      <c r="Q449" s="53"/>
      <c r="R449" s="53"/>
      <c r="S449" s="53"/>
    </row>
    <row r="450" spans="1:19">
      <c r="A450" s="1"/>
      <c r="E450" s="42"/>
      <c r="G450" s="40"/>
      <c r="M450" s="53"/>
      <c r="P450" s="53"/>
      <c r="Q450" s="53"/>
      <c r="R450" s="53"/>
      <c r="S450" s="53"/>
    </row>
    <row r="451" spans="1:19">
      <c r="A451" s="1"/>
      <c r="E451" s="42"/>
      <c r="F451" s="42"/>
      <c r="G451" s="40"/>
      <c r="M451" s="53"/>
      <c r="P451" s="53"/>
      <c r="Q451" s="53"/>
      <c r="R451" s="53"/>
      <c r="S451" s="53"/>
    </row>
    <row r="452" spans="1:19">
      <c r="A452" s="1"/>
      <c r="E452" s="42"/>
      <c r="G452" s="40"/>
      <c r="M452" s="53"/>
      <c r="P452" s="53"/>
      <c r="Q452" s="53"/>
      <c r="R452" s="53"/>
      <c r="S452" s="53"/>
    </row>
    <row r="453" spans="1:19">
      <c r="A453" s="1"/>
      <c r="E453" s="42"/>
      <c r="F453" s="42"/>
      <c r="G453" s="40"/>
      <c r="M453" s="53"/>
      <c r="P453" s="53"/>
      <c r="Q453" s="53"/>
      <c r="R453" s="53"/>
      <c r="S453" s="53"/>
    </row>
    <row r="454" spans="1:19">
      <c r="A454" s="1"/>
      <c r="E454" s="42"/>
      <c r="G454" s="40"/>
      <c r="M454" s="53"/>
      <c r="P454" s="53"/>
      <c r="Q454" s="53"/>
      <c r="R454" s="53"/>
      <c r="S454" s="53"/>
    </row>
    <row r="455" spans="1:19">
      <c r="A455" s="1"/>
      <c r="E455" s="42"/>
      <c r="F455" s="42"/>
      <c r="G455" s="40"/>
      <c r="M455" s="53"/>
      <c r="P455" s="53"/>
      <c r="Q455" s="53"/>
      <c r="R455" s="53"/>
      <c r="S455" s="53"/>
    </row>
    <row r="456" spans="1:19">
      <c r="A456" s="1"/>
      <c r="E456" s="42"/>
      <c r="G456" s="40"/>
      <c r="M456" s="53"/>
      <c r="P456" s="53"/>
      <c r="Q456" s="53"/>
      <c r="R456" s="53"/>
      <c r="S456" s="53"/>
    </row>
    <row r="457" spans="1:19">
      <c r="A457" s="1"/>
      <c r="E457" s="42"/>
      <c r="F457" s="42"/>
      <c r="G457" s="40"/>
      <c r="M457" s="53"/>
      <c r="P457" s="53"/>
      <c r="Q457" s="53"/>
      <c r="R457" s="53"/>
      <c r="S457" s="53"/>
    </row>
    <row r="458" spans="1:19">
      <c r="A458" s="1"/>
      <c r="E458" s="42"/>
      <c r="G458" s="40"/>
      <c r="M458" s="53"/>
      <c r="P458" s="53"/>
      <c r="Q458" s="53"/>
      <c r="R458" s="53"/>
      <c r="S458" s="53"/>
    </row>
    <row r="459" spans="1:19">
      <c r="A459" s="1"/>
      <c r="E459" s="42"/>
      <c r="F459" s="42"/>
      <c r="G459" s="40"/>
      <c r="M459" s="53"/>
      <c r="P459" s="53"/>
      <c r="Q459" s="53"/>
      <c r="R459" s="53"/>
      <c r="S459" s="53"/>
    </row>
    <row r="460" spans="1:19">
      <c r="A460" s="1"/>
      <c r="E460" s="42"/>
      <c r="G460" s="40"/>
      <c r="M460" s="53"/>
      <c r="P460" s="53"/>
      <c r="Q460" s="53"/>
      <c r="R460" s="53"/>
      <c r="S460" s="53"/>
    </row>
    <row r="461" spans="1:19">
      <c r="A461" s="1"/>
      <c r="E461" s="42"/>
      <c r="F461" s="42"/>
      <c r="G461" s="40"/>
      <c r="M461" s="53"/>
      <c r="P461" s="53"/>
      <c r="Q461" s="53"/>
      <c r="R461" s="53"/>
      <c r="S461" s="53"/>
    </row>
    <row r="462" spans="1:19">
      <c r="A462" s="1"/>
      <c r="E462" s="42"/>
      <c r="G462" s="40"/>
      <c r="M462" s="53"/>
      <c r="P462" s="53"/>
      <c r="Q462" s="53"/>
      <c r="R462" s="53"/>
      <c r="S462" s="53"/>
    </row>
    <row r="463" spans="1:19">
      <c r="A463" s="1"/>
      <c r="E463" s="42"/>
      <c r="F463" s="42"/>
      <c r="G463" s="40"/>
      <c r="M463" s="53"/>
      <c r="P463" s="53"/>
      <c r="Q463" s="53"/>
      <c r="R463" s="53"/>
      <c r="S463" s="53"/>
    </row>
    <row r="464" spans="1:19">
      <c r="A464" s="1"/>
      <c r="E464" s="42"/>
      <c r="G464" s="40"/>
      <c r="M464" s="53"/>
      <c r="P464" s="53"/>
      <c r="Q464" s="53"/>
      <c r="R464" s="53"/>
      <c r="S464" s="53"/>
    </row>
    <row r="465" spans="1:19">
      <c r="A465" s="1"/>
      <c r="E465" s="42"/>
      <c r="F465" s="42"/>
      <c r="G465" s="40"/>
      <c r="M465" s="53"/>
      <c r="P465" s="53"/>
      <c r="Q465" s="53"/>
      <c r="R465" s="53"/>
      <c r="S465" s="53"/>
    </row>
    <row r="466" spans="1:19">
      <c r="A466" s="1"/>
      <c r="E466" s="42"/>
      <c r="G466" s="40"/>
      <c r="M466" s="53"/>
      <c r="P466" s="53"/>
      <c r="Q466" s="53"/>
      <c r="R466" s="53"/>
      <c r="S466" s="53"/>
    </row>
    <row r="467" spans="1:19">
      <c r="A467" s="1"/>
      <c r="E467" s="42"/>
      <c r="F467" s="42"/>
      <c r="G467" s="40"/>
      <c r="M467" s="53"/>
      <c r="P467" s="53"/>
      <c r="Q467" s="53"/>
      <c r="R467" s="53"/>
      <c r="S467" s="53"/>
    </row>
    <row r="468" spans="1:19">
      <c r="A468" s="1"/>
      <c r="E468" s="42"/>
      <c r="G468" s="40"/>
      <c r="M468" s="53"/>
      <c r="P468" s="53"/>
      <c r="Q468" s="53"/>
      <c r="R468" s="53"/>
      <c r="S468" s="53"/>
    </row>
    <row r="469" spans="1:19">
      <c r="A469" s="1"/>
      <c r="E469" s="42"/>
      <c r="F469" s="42"/>
      <c r="G469" s="40"/>
      <c r="M469" s="53"/>
      <c r="P469" s="53"/>
      <c r="Q469" s="53"/>
      <c r="R469" s="53"/>
      <c r="S469" s="53"/>
    </row>
    <row r="470" spans="1:19">
      <c r="A470" s="1"/>
      <c r="E470" s="42"/>
      <c r="G470" s="40"/>
      <c r="M470" s="53"/>
      <c r="P470" s="53"/>
      <c r="Q470" s="53"/>
      <c r="R470" s="53"/>
      <c r="S470" s="53"/>
    </row>
    <row r="471" spans="1:19">
      <c r="A471" s="1"/>
      <c r="E471" s="42"/>
      <c r="F471" s="42"/>
      <c r="G471" s="40"/>
      <c r="M471" s="53"/>
      <c r="P471" s="53"/>
      <c r="Q471" s="53"/>
      <c r="R471" s="53"/>
      <c r="S471" s="53"/>
    </row>
    <row r="472" spans="1:19">
      <c r="A472" s="1"/>
      <c r="E472" s="42"/>
      <c r="G472" s="40"/>
      <c r="M472" s="53"/>
      <c r="P472" s="53"/>
      <c r="Q472" s="53"/>
      <c r="R472" s="53"/>
      <c r="S472" s="53"/>
    </row>
    <row r="473" spans="1:19">
      <c r="A473" s="1"/>
      <c r="E473" s="42"/>
      <c r="F473" s="42"/>
      <c r="G473" s="40"/>
      <c r="M473" s="53"/>
      <c r="P473" s="53"/>
      <c r="Q473" s="53"/>
      <c r="R473" s="53"/>
      <c r="S473" s="53"/>
    </row>
    <row r="474" spans="1:19">
      <c r="A474" s="1"/>
      <c r="E474" s="42"/>
      <c r="G474" s="40"/>
      <c r="M474" s="53"/>
      <c r="P474" s="53"/>
      <c r="Q474" s="53"/>
      <c r="R474" s="53"/>
      <c r="S474" s="53"/>
    </row>
    <row r="475" spans="1:19">
      <c r="A475" s="1"/>
      <c r="E475" s="42"/>
      <c r="F475" s="42"/>
      <c r="G475" s="40"/>
      <c r="M475" s="53"/>
      <c r="P475" s="53"/>
      <c r="Q475" s="53"/>
      <c r="R475" s="53"/>
      <c r="S475" s="53"/>
    </row>
    <row r="476" spans="1:19">
      <c r="A476" s="1"/>
      <c r="E476" s="42"/>
      <c r="G476" s="40"/>
      <c r="M476" s="53"/>
      <c r="P476" s="53"/>
      <c r="Q476" s="53"/>
      <c r="R476" s="53"/>
      <c r="S476" s="53"/>
    </row>
    <row r="477" spans="1:19">
      <c r="A477" s="1"/>
      <c r="E477" s="42"/>
      <c r="F477" s="42"/>
      <c r="G477" s="40"/>
      <c r="M477" s="53"/>
      <c r="P477" s="53"/>
      <c r="Q477" s="53"/>
      <c r="R477" s="53"/>
      <c r="S477" s="53"/>
    </row>
    <row r="478" spans="1:19">
      <c r="A478" s="1"/>
      <c r="E478" s="42"/>
      <c r="G478" s="40"/>
      <c r="M478" s="53"/>
      <c r="P478" s="53"/>
      <c r="Q478" s="53"/>
      <c r="R478" s="53"/>
      <c r="S478" s="53"/>
    </row>
    <row r="479" spans="1:19">
      <c r="A479" s="1"/>
      <c r="E479" s="42"/>
      <c r="F479" s="42"/>
      <c r="G479" s="40"/>
      <c r="M479" s="53"/>
      <c r="P479" s="53"/>
      <c r="Q479" s="53"/>
      <c r="R479" s="53"/>
      <c r="S479" s="53"/>
    </row>
    <row r="480" spans="1:19">
      <c r="A480" s="1"/>
      <c r="E480" s="42"/>
      <c r="G480" s="40"/>
      <c r="M480" s="53"/>
      <c r="P480" s="53"/>
      <c r="Q480" s="53"/>
      <c r="R480" s="53"/>
      <c r="S480" s="53"/>
    </row>
    <row r="481" spans="1:19">
      <c r="A481" s="1"/>
      <c r="E481" s="42"/>
      <c r="F481" s="42"/>
      <c r="G481" s="40"/>
      <c r="M481" s="53"/>
      <c r="P481" s="53"/>
      <c r="Q481" s="53"/>
      <c r="R481" s="53"/>
      <c r="S481" s="53"/>
    </row>
    <row r="482" spans="1:19">
      <c r="A482" s="1"/>
      <c r="E482" s="42"/>
      <c r="G482" s="40"/>
      <c r="M482" s="53"/>
      <c r="P482" s="53"/>
      <c r="Q482" s="53"/>
      <c r="R482" s="53"/>
      <c r="S482" s="53"/>
    </row>
    <row r="483" spans="1:19">
      <c r="A483" s="1"/>
      <c r="E483" s="42"/>
      <c r="F483" s="42"/>
      <c r="G483" s="40"/>
      <c r="M483" s="53"/>
      <c r="P483" s="53"/>
      <c r="Q483" s="53"/>
      <c r="R483" s="53"/>
      <c r="S483" s="53"/>
    </row>
    <row r="484" spans="1:19">
      <c r="A484" s="1"/>
      <c r="E484" s="42"/>
      <c r="G484" s="40"/>
      <c r="M484" s="53"/>
      <c r="P484" s="53"/>
      <c r="Q484" s="53"/>
      <c r="R484" s="53"/>
      <c r="S484" s="53"/>
    </row>
    <row r="485" spans="1:19">
      <c r="A485" s="1"/>
      <c r="E485" s="42"/>
      <c r="F485" s="42"/>
      <c r="G485" s="40"/>
      <c r="M485" s="53"/>
      <c r="P485" s="53"/>
      <c r="Q485" s="53"/>
      <c r="R485" s="53"/>
      <c r="S485" s="53"/>
    </row>
    <row r="486" spans="1:19">
      <c r="A486" s="1"/>
      <c r="E486" s="42"/>
      <c r="G486" s="40"/>
      <c r="M486" s="53"/>
      <c r="P486" s="53"/>
      <c r="Q486" s="53"/>
      <c r="R486" s="53"/>
      <c r="S486" s="53"/>
    </row>
    <row r="487" spans="1:19">
      <c r="A487" s="1"/>
      <c r="E487" s="42"/>
      <c r="F487" s="42"/>
      <c r="G487" s="40"/>
      <c r="M487" s="53"/>
      <c r="P487" s="53"/>
      <c r="Q487" s="53"/>
      <c r="R487" s="53"/>
      <c r="S487" s="53"/>
    </row>
    <row r="488" spans="1:19">
      <c r="A488" s="1"/>
      <c r="E488" s="42"/>
      <c r="G488" s="40"/>
      <c r="M488" s="53"/>
      <c r="P488" s="53"/>
      <c r="Q488" s="53"/>
      <c r="R488" s="53"/>
      <c r="S488" s="53"/>
    </row>
    <row r="489" spans="1:19">
      <c r="A489" s="1"/>
      <c r="E489" s="42"/>
      <c r="F489" s="42"/>
      <c r="G489" s="40"/>
      <c r="M489" s="53"/>
      <c r="P489" s="53"/>
      <c r="Q489" s="53"/>
      <c r="R489" s="53"/>
      <c r="S489" s="53"/>
    </row>
    <row r="490" spans="1:19">
      <c r="A490" s="1"/>
      <c r="E490" s="42"/>
      <c r="G490" s="40"/>
      <c r="M490" s="53"/>
      <c r="P490" s="53"/>
      <c r="Q490" s="53"/>
      <c r="R490" s="53"/>
      <c r="S490" s="53"/>
    </row>
    <row r="491" spans="1:19">
      <c r="A491" s="1"/>
      <c r="E491" s="42"/>
      <c r="F491" s="42"/>
      <c r="G491" s="40"/>
      <c r="M491" s="53"/>
      <c r="P491" s="53"/>
      <c r="Q491" s="53"/>
      <c r="R491" s="53"/>
      <c r="S491" s="53"/>
    </row>
    <row r="492" spans="1:19">
      <c r="A492" s="1"/>
      <c r="E492" s="42"/>
      <c r="G492" s="40"/>
      <c r="M492" s="53"/>
      <c r="P492" s="53"/>
      <c r="Q492" s="53"/>
      <c r="R492" s="53"/>
      <c r="S492" s="53"/>
    </row>
    <row r="493" spans="1:19">
      <c r="A493" s="1"/>
      <c r="E493" s="42"/>
      <c r="F493" s="42"/>
      <c r="G493" s="40"/>
      <c r="M493" s="53"/>
      <c r="P493" s="53"/>
      <c r="Q493" s="53"/>
      <c r="R493" s="53"/>
      <c r="S493" s="53"/>
    </row>
    <row r="494" spans="1:19">
      <c r="A494" s="1"/>
      <c r="E494" s="42"/>
      <c r="G494" s="40"/>
      <c r="M494" s="53"/>
      <c r="P494" s="53"/>
      <c r="Q494" s="53"/>
      <c r="R494" s="53"/>
      <c r="S494" s="53"/>
    </row>
    <row r="495" spans="1:19">
      <c r="A495" s="1"/>
      <c r="E495" s="42"/>
      <c r="F495" s="42"/>
      <c r="G495" s="40"/>
      <c r="M495" s="53"/>
      <c r="P495" s="53"/>
      <c r="Q495" s="53"/>
      <c r="R495" s="53"/>
      <c r="S495" s="53"/>
    </row>
    <row r="496" spans="1:19">
      <c r="A496" s="1"/>
      <c r="E496" s="42"/>
      <c r="G496" s="40"/>
      <c r="M496" s="53"/>
      <c r="P496" s="53"/>
      <c r="Q496" s="53"/>
      <c r="R496" s="53"/>
      <c r="S496" s="53"/>
    </row>
    <row r="497" spans="1:19">
      <c r="A497" s="1"/>
      <c r="E497" s="42"/>
      <c r="F497" s="42"/>
      <c r="G497" s="40"/>
      <c r="M497" s="53"/>
      <c r="P497" s="53"/>
      <c r="Q497" s="53"/>
      <c r="R497" s="53"/>
      <c r="S497" s="53"/>
    </row>
    <row r="498" spans="1:19">
      <c r="A498" s="1"/>
      <c r="E498" s="42"/>
      <c r="G498" s="40"/>
      <c r="M498" s="53"/>
      <c r="P498" s="53"/>
      <c r="Q498" s="53"/>
      <c r="R498" s="53"/>
      <c r="S498" s="53"/>
    </row>
    <row r="499" spans="1:19">
      <c r="A499" s="1"/>
      <c r="E499" s="42"/>
      <c r="F499" s="42"/>
      <c r="G499" s="40"/>
      <c r="M499" s="53"/>
      <c r="P499" s="53"/>
      <c r="Q499" s="53"/>
      <c r="R499" s="53"/>
      <c r="S499" s="53"/>
    </row>
    <row r="500" spans="1:19">
      <c r="A500" s="1"/>
      <c r="E500" s="42"/>
      <c r="G500" s="40"/>
      <c r="M500" s="53"/>
      <c r="P500" s="53"/>
      <c r="Q500" s="53"/>
      <c r="R500" s="53"/>
      <c r="S500" s="53"/>
    </row>
    <row r="501" spans="1:19">
      <c r="A501" s="1"/>
      <c r="E501" s="42"/>
      <c r="F501" s="42"/>
      <c r="G501" s="40"/>
      <c r="M501" s="53"/>
      <c r="P501" s="53"/>
      <c r="Q501" s="53"/>
      <c r="R501" s="53"/>
      <c r="S501" s="53"/>
    </row>
    <row r="502" spans="1:19">
      <c r="A502" s="1"/>
      <c r="E502" s="42"/>
      <c r="G502" s="40"/>
      <c r="M502" s="53"/>
      <c r="P502" s="53"/>
      <c r="Q502" s="53"/>
      <c r="R502" s="53"/>
      <c r="S502" s="53"/>
    </row>
    <row r="503" spans="1:19">
      <c r="A503" s="1"/>
      <c r="E503" s="42"/>
      <c r="F503" s="42"/>
      <c r="G503" s="40"/>
      <c r="M503" s="53"/>
      <c r="P503" s="53"/>
      <c r="Q503" s="53"/>
      <c r="R503" s="53"/>
      <c r="S503" s="53"/>
    </row>
    <row r="504" spans="1:19">
      <c r="A504" s="1"/>
      <c r="E504" s="42"/>
      <c r="G504" s="40"/>
      <c r="M504" s="53"/>
      <c r="P504" s="53"/>
      <c r="Q504" s="53"/>
      <c r="R504" s="53"/>
      <c r="S504" s="53"/>
    </row>
    <row r="505" spans="1:19">
      <c r="A505" s="1"/>
      <c r="E505" s="42"/>
      <c r="F505" s="42"/>
      <c r="G505" s="40"/>
      <c r="M505" s="53"/>
      <c r="P505" s="53"/>
      <c r="Q505" s="53"/>
      <c r="R505" s="53"/>
      <c r="S505" s="53"/>
    </row>
    <row r="506" spans="1:19">
      <c r="A506" s="1"/>
      <c r="E506" s="42"/>
      <c r="G506" s="40"/>
      <c r="M506" s="53"/>
      <c r="P506" s="53"/>
      <c r="Q506" s="53"/>
      <c r="R506" s="53"/>
      <c r="S506" s="53"/>
    </row>
    <row r="507" spans="1:19">
      <c r="A507" s="1"/>
      <c r="E507" s="42"/>
      <c r="F507" s="42"/>
      <c r="G507" s="40"/>
      <c r="M507" s="53"/>
      <c r="P507" s="53"/>
      <c r="Q507" s="53"/>
      <c r="R507" s="53"/>
      <c r="S507" s="53"/>
    </row>
    <row r="508" spans="1:19">
      <c r="A508" s="1"/>
      <c r="E508" s="42"/>
      <c r="G508" s="40"/>
      <c r="M508" s="53"/>
      <c r="P508" s="53"/>
      <c r="Q508" s="53"/>
      <c r="R508" s="53"/>
      <c r="S508" s="53"/>
    </row>
    <row r="509" spans="1:19">
      <c r="A509" s="1"/>
      <c r="E509" s="42"/>
      <c r="F509" s="42"/>
      <c r="G509" s="40"/>
      <c r="M509" s="53"/>
      <c r="P509" s="53"/>
      <c r="Q509" s="53"/>
      <c r="R509" s="53"/>
      <c r="S509" s="53"/>
    </row>
    <row r="510" spans="1:19">
      <c r="A510" s="1"/>
      <c r="E510" s="42"/>
      <c r="G510" s="40"/>
      <c r="M510" s="53"/>
      <c r="P510" s="53"/>
      <c r="Q510" s="53"/>
      <c r="R510" s="53"/>
      <c r="S510" s="53"/>
    </row>
    <row r="511" spans="1:19">
      <c r="A511" s="1"/>
      <c r="E511" s="42"/>
      <c r="F511" s="42"/>
      <c r="G511" s="40"/>
      <c r="M511" s="53"/>
      <c r="P511" s="53"/>
      <c r="Q511" s="53"/>
      <c r="R511" s="53"/>
      <c r="S511" s="53"/>
    </row>
    <row r="512" spans="1:19">
      <c r="A512" s="1"/>
      <c r="E512" s="42"/>
      <c r="G512" s="40"/>
      <c r="M512" s="53"/>
      <c r="P512" s="53"/>
      <c r="Q512" s="53"/>
      <c r="R512" s="53"/>
      <c r="S512" s="53"/>
    </row>
    <row r="513" spans="1:19">
      <c r="A513" s="1"/>
      <c r="E513" s="42"/>
      <c r="F513" s="42"/>
      <c r="G513" s="40"/>
      <c r="M513" s="53"/>
      <c r="P513" s="53"/>
      <c r="Q513" s="53"/>
      <c r="R513" s="53"/>
      <c r="S513" s="53"/>
    </row>
    <row r="514" spans="1:19">
      <c r="A514" s="1"/>
      <c r="E514" s="42"/>
      <c r="G514" s="40"/>
      <c r="M514" s="53"/>
      <c r="P514" s="53"/>
      <c r="Q514" s="53"/>
      <c r="R514" s="53"/>
      <c r="S514" s="53"/>
    </row>
    <row r="515" spans="1:19">
      <c r="A515" s="1"/>
      <c r="E515" s="42"/>
      <c r="F515" s="42"/>
      <c r="G515" s="40"/>
      <c r="M515" s="53"/>
      <c r="P515" s="53"/>
      <c r="Q515" s="53"/>
      <c r="R515" s="53"/>
      <c r="S515" s="53"/>
    </row>
    <row r="516" spans="1:19">
      <c r="A516" s="1"/>
      <c r="E516" s="42"/>
      <c r="G516" s="40"/>
      <c r="M516" s="53"/>
      <c r="P516" s="53"/>
      <c r="Q516" s="53"/>
      <c r="R516" s="53"/>
      <c r="S516" s="53"/>
    </row>
    <row r="517" spans="1:19">
      <c r="A517" s="1"/>
      <c r="E517" s="42"/>
      <c r="F517" s="42"/>
      <c r="G517" s="40"/>
      <c r="M517" s="53"/>
      <c r="P517" s="53"/>
      <c r="Q517" s="53"/>
      <c r="R517" s="53"/>
      <c r="S517" s="53"/>
    </row>
    <row r="518" spans="1:19">
      <c r="A518" s="1"/>
      <c r="E518" s="42"/>
      <c r="G518" s="40"/>
      <c r="M518" s="53"/>
      <c r="P518" s="53"/>
      <c r="Q518" s="53"/>
      <c r="R518" s="53"/>
      <c r="S518" s="53"/>
    </row>
    <row r="519" spans="1:19">
      <c r="A519" s="1"/>
      <c r="E519" s="42"/>
      <c r="F519" s="42"/>
      <c r="G519" s="40"/>
      <c r="M519" s="53"/>
      <c r="P519" s="53"/>
      <c r="Q519" s="53"/>
      <c r="R519" s="53"/>
      <c r="S519" s="53"/>
    </row>
    <row r="520" spans="1:19">
      <c r="A520" s="1"/>
      <c r="E520" s="42"/>
      <c r="G520" s="40"/>
      <c r="M520" s="53"/>
      <c r="P520" s="53"/>
      <c r="Q520" s="53"/>
      <c r="R520" s="53"/>
      <c r="S520" s="53"/>
    </row>
    <row r="521" spans="1:19">
      <c r="A521" s="1"/>
      <c r="E521" s="42"/>
      <c r="F521" s="42"/>
      <c r="G521" s="40"/>
      <c r="M521" s="53"/>
      <c r="P521" s="53"/>
      <c r="Q521" s="53"/>
      <c r="R521" s="53"/>
      <c r="S521" s="53"/>
    </row>
    <row r="522" spans="1:19">
      <c r="A522" s="1"/>
      <c r="E522" s="42"/>
      <c r="G522" s="40"/>
      <c r="M522" s="53"/>
      <c r="P522" s="53"/>
      <c r="Q522" s="53"/>
      <c r="R522" s="53"/>
      <c r="S522" s="53"/>
    </row>
    <row r="523" spans="1:19">
      <c r="A523" s="1"/>
      <c r="E523" s="42"/>
      <c r="F523" s="42"/>
      <c r="G523" s="40"/>
      <c r="M523" s="53"/>
      <c r="P523" s="53"/>
      <c r="Q523" s="53"/>
      <c r="R523" s="53"/>
      <c r="S523" s="53"/>
    </row>
    <row r="524" spans="1:19">
      <c r="A524" s="1"/>
      <c r="E524" s="42"/>
      <c r="G524" s="40"/>
      <c r="M524" s="53"/>
      <c r="P524" s="53"/>
      <c r="Q524" s="53"/>
      <c r="R524" s="53"/>
      <c r="S524" s="53"/>
    </row>
    <row r="525" spans="1:19">
      <c r="A525" s="1"/>
      <c r="E525" s="42"/>
      <c r="F525" s="42"/>
      <c r="G525" s="40"/>
      <c r="M525" s="53"/>
      <c r="P525" s="53"/>
      <c r="Q525" s="53"/>
      <c r="R525" s="53"/>
      <c r="S525" s="53"/>
    </row>
    <row r="526" spans="1:19">
      <c r="A526" s="1"/>
      <c r="E526" s="42"/>
      <c r="G526" s="40"/>
      <c r="M526" s="53"/>
      <c r="P526" s="53"/>
      <c r="Q526" s="53"/>
      <c r="R526" s="53"/>
      <c r="S526" s="53"/>
    </row>
    <row r="527" spans="1:19">
      <c r="A527" s="1"/>
      <c r="E527" s="42"/>
      <c r="F527" s="42"/>
      <c r="G527" s="40"/>
      <c r="M527" s="53"/>
      <c r="P527" s="53"/>
      <c r="Q527" s="53"/>
      <c r="R527" s="53"/>
      <c r="S527" s="53"/>
    </row>
    <row r="528" spans="1:19">
      <c r="A528" s="1"/>
      <c r="E528" s="42"/>
      <c r="G528" s="40"/>
      <c r="M528" s="53"/>
      <c r="P528" s="53"/>
      <c r="Q528" s="53"/>
      <c r="R528" s="53"/>
      <c r="S528" s="53"/>
    </row>
    <row r="529" spans="1:19">
      <c r="A529" s="1"/>
      <c r="E529" s="42"/>
      <c r="F529" s="42"/>
      <c r="G529" s="40"/>
      <c r="M529" s="53"/>
      <c r="P529" s="53"/>
      <c r="Q529" s="53"/>
      <c r="R529" s="53"/>
      <c r="S529" s="53"/>
    </row>
    <row r="530" spans="1:19">
      <c r="A530" s="1"/>
      <c r="E530" s="42"/>
      <c r="G530" s="40"/>
      <c r="M530" s="53"/>
      <c r="P530" s="53"/>
      <c r="Q530" s="53"/>
      <c r="R530" s="53"/>
      <c r="S530" s="53"/>
    </row>
    <row r="531" spans="1:19">
      <c r="A531" s="1"/>
      <c r="E531" s="42"/>
      <c r="F531" s="42"/>
      <c r="G531" s="40"/>
      <c r="M531" s="53"/>
      <c r="P531" s="53"/>
      <c r="Q531" s="53"/>
      <c r="R531" s="53"/>
      <c r="S531" s="53"/>
    </row>
    <row r="532" spans="1:19">
      <c r="A532" s="1"/>
      <c r="E532" s="42"/>
      <c r="G532" s="40"/>
      <c r="M532" s="53"/>
      <c r="P532" s="53"/>
      <c r="Q532" s="53"/>
      <c r="R532" s="53"/>
      <c r="S532" s="53"/>
    </row>
    <row r="533" spans="1:19">
      <c r="A533" s="1"/>
      <c r="E533" s="42"/>
      <c r="F533" s="42"/>
      <c r="G533" s="40"/>
      <c r="M533" s="53"/>
      <c r="P533" s="53"/>
      <c r="Q533" s="53"/>
      <c r="R533" s="53"/>
      <c r="S533" s="53"/>
    </row>
    <row r="534" spans="1:19">
      <c r="A534" s="1"/>
      <c r="E534" s="42"/>
      <c r="G534" s="40"/>
      <c r="M534" s="53"/>
      <c r="P534" s="53"/>
      <c r="Q534" s="53"/>
      <c r="R534" s="53"/>
      <c r="S534" s="53"/>
    </row>
    <row r="535" spans="1:19">
      <c r="A535" s="1"/>
      <c r="E535" s="42"/>
      <c r="F535" s="42"/>
      <c r="G535" s="40"/>
      <c r="M535" s="53"/>
      <c r="P535" s="53"/>
      <c r="Q535" s="53"/>
      <c r="R535" s="53"/>
      <c r="S535" s="53"/>
    </row>
    <row r="536" spans="1:19">
      <c r="A536" s="1"/>
      <c r="E536" s="42"/>
      <c r="G536" s="40"/>
      <c r="M536" s="53"/>
      <c r="P536" s="53"/>
      <c r="Q536" s="53"/>
      <c r="R536" s="53"/>
      <c r="S536" s="53"/>
    </row>
    <row r="537" spans="1:19">
      <c r="A537" s="1"/>
      <c r="E537" s="42"/>
      <c r="F537" s="42"/>
      <c r="G537" s="40"/>
      <c r="M537" s="53"/>
      <c r="P537" s="53"/>
      <c r="Q537" s="53"/>
      <c r="R537" s="53"/>
      <c r="S537" s="53"/>
    </row>
    <row r="538" spans="1:19">
      <c r="A538" s="1"/>
      <c r="E538" s="42"/>
      <c r="G538" s="40"/>
      <c r="M538" s="53"/>
      <c r="P538" s="53"/>
      <c r="Q538" s="53"/>
      <c r="R538" s="53"/>
      <c r="S538" s="53"/>
    </row>
    <row r="539" spans="1:19">
      <c r="A539" s="1"/>
      <c r="E539" s="42"/>
      <c r="F539" s="42"/>
      <c r="G539" s="40"/>
      <c r="M539" s="53"/>
      <c r="P539" s="53"/>
      <c r="Q539" s="53"/>
      <c r="R539" s="53"/>
      <c r="S539" s="53"/>
    </row>
    <row r="540" spans="1:19">
      <c r="A540" s="1"/>
      <c r="E540" s="42"/>
      <c r="G540" s="40"/>
      <c r="M540" s="53"/>
      <c r="P540" s="53"/>
      <c r="Q540" s="53"/>
      <c r="R540" s="53"/>
      <c r="S540" s="53"/>
    </row>
    <row r="541" spans="1:19">
      <c r="A541" s="1"/>
      <c r="E541" s="42"/>
      <c r="F541" s="42"/>
      <c r="G541" s="40"/>
      <c r="M541" s="53"/>
      <c r="P541" s="53"/>
      <c r="Q541" s="53"/>
      <c r="R541" s="53"/>
      <c r="S541" s="53"/>
    </row>
    <row r="542" spans="1:19">
      <c r="A542" s="1"/>
      <c r="E542" s="42"/>
      <c r="G542" s="40"/>
      <c r="M542" s="53"/>
      <c r="P542" s="53"/>
      <c r="Q542" s="53"/>
      <c r="R542" s="53"/>
      <c r="S542" s="53"/>
    </row>
    <row r="543" spans="1:19">
      <c r="A543" s="1"/>
      <c r="E543" s="42"/>
      <c r="F543" s="42"/>
      <c r="G543" s="40"/>
      <c r="M543" s="53"/>
      <c r="P543" s="53"/>
      <c r="Q543" s="53"/>
      <c r="R543" s="53"/>
      <c r="S543" s="53"/>
    </row>
    <row r="544" spans="1:19">
      <c r="A544" s="1"/>
      <c r="E544" s="42"/>
      <c r="G544" s="40"/>
      <c r="M544" s="53"/>
      <c r="P544" s="53"/>
      <c r="Q544" s="53"/>
      <c r="R544" s="53"/>
      <c r="S544" s="53"/>
    </row>
    <row r="545" spans="1:19">
      <c r="A545" s="1"/>
      <c r="E545" s="42"/>
      <c r="F545" s="42"/>
      <c r="G545" s="40"/>
      <c r="M545" s="53"/>
      <c r="P545" s="53"/>
      <c r="Q545" s="53"/>
      <c r="R545" s="53"/>
      <c r="S545" s="53"/>
    </row>
    <row r="546" spans="1:19">
      <c r="A546" s="1"/>
      <c r="E546" s="42"/>
      <c r="G546" s="40"/>
      <c r="M546" s="53"/>
      <c r="P546" s="53"/>
      <c r="Q546" s="53"/>
      <c r="R546" s="53"/>
      <c r="S546" s="53"/>
    </row>
    <row r="547" spans="1:19">
      <c r="A547" s="1"/>
      <c r="E547" s="42"/>
      <c r="F547" s="42"/>
      <c r="G547" s="40"/>
      <c r="M547" s="53"/>
      <c r="P547" s="53"/>
      <c r="Q547" s="53"/>
      <c r="R547" s="53"/>
      <c r="S547" s="53"/>
    </row>
    <row r="548" spans="1:19">
      <c r="A548" s="1"/>
      <c r="E548" s="42"/>
      <c r="G548" s="40"/>
      <c r="M548" s="53"/>
      <c r="P548" s="53"/>
      <c r="Q548" s="53"/>
      <c r="R548" s="53"/>
      <c r="S548" s="53"/>
    </row>
    <row r="549" spans="1:19">
      <c r="A549" s="1"/>
      <c r="E549" s="42"/>
      <c r="F549" s="42"/>
      <c r="G549" s="40"/>
      <c r="M549" s="53"/>
      <c r="P549" s="53"/>
      <c r="Q549" s="53"/>
      <c r="R549" s="53"/>
      <c r="S549" s="53"/>
    </row>
    <row r="550" spans="1:19">
      <c r="A550" s="1"/>
      <c r="E550" s="42"/>
      <c r="G550" s="40"/>
      <c r="M550" s="53"/>
      <c r="P550" s="53"/>
      <c r="Q550" s="53"/>
      <c r="R550" s="53"/>
      <c r="S550" s="53"/>
    </row>
    <row r="551" spans="1:19">
      <c r="A551" s="1"/>
      <c r="E551" s="42"/>
      <c r="F551" s="42"/>
      <c r="G551" s="40"/>
      <c r="M551" s="53"/>
      <c r="P551" s="53"/>
      <c r="Q551" s="53"/>
      <c r="R551" s="53"/>
      <c r="S551" s="53"/>
    </row>
    <row r="552" spans="1:19">
      <c r="A552" s="1"/>
      <c r="E552" s="42"/>
      <c r="G552" s="40"/>
      <c r="M552" s="53"/>
      <c r="P552" s="53"/>
      <c r="Q552" s="53"/>
      <c r="R552" s="53"/>
      <c r="S552" s="53"/>
    </row>
    <row r="553" spans="1:19">
      <c r="A553" s="1"/>
      <c r="E553" s="42"/>
      <c r="F553" s="42"/>
      <c r="G553" s="40"/>
      <c r="M553" s="53"/>
      <c r="P553" s="53"/>
      <c r="Q553" s="53"/>
      <c r="R553" s="53"/>
      <c r="S553" s="53"/>
    </row>
    <row r="554" spans="1:19">
      <c r="A554" s="1"/>
      <c r="E554" s="42"/>
      <c r="G554" s="40"/>
      <c r="M554" s="53"/>
      <c r="P554" s="53"/>
      <c r="Q554" s="53"/>
      <c r="R554" s="53"/>
      <c r="S554" s="53"/>
    </row>
    <row r="555" spans="1:19">
      <c r="A555" s="1"/>
      <c r="E555" s="42"/>
      <c r="F555" s="42"/>
      <c r="G555" s="40"/>
      <c r="M555" s="53"/>
      <c r="P555" s="53"/>
      <c r="Q555" s="53"/>
      <c r="R555" s="53"/>
      <c r="S555" s="53"/>
    </row>
    <row r="556" spans="1:19">
      <c r="A556" s="1"/>
      <c r="E556" s="42"/>
      <c r="G556" s="40"/>
      <c r="M556" s="53"/>
      <c r="P556" s="53"/>
      <c r="Q556" s="53"/>
      <c r="R556" s="53"/>
      <c r="S556" s="53"/>
    </row>
    <row r="557" spans="1:19">
      <c r="A557" s="1"/>
      <c r="E557" s="42"/>
      <c r="F557" s="42"/>
      <c r="G557" s="40"/>
      <c r="M557" s="53"/>
      <c r="P557" s="53"/>
      <c r="Q557" s="53"/>
      <c r="R557" s="53"/>
      <c r="S557" s="53"/>
    </row>
    <row r="558" spans="1:19">
      <c r="A558" s="1"/>
      <c r="E558" s="42"/>
      <c r="G558" s="40"/>
      <c r="M558" s="53"/>
      <c r="P558" s="53"/>
      <c r="Q558" s="53"/>
      <c r="R558" s="53"/>
      <c r="S558" s="53"/>
    </row>
    <row r="559" spans="1:19">
      <c r="A559" s="1"/>
      <c r="E559" s="42"/>
      <c r="F559" s="42"/>
      <c r="G559" s="40"/>
      <c r="M559" s="53"/>
      <c r="P559" s="53"/>
      <c r="Q559" s="53"/>
      <c r="R559" s="53"/>
      <c r="S559" s="53"/>
    </row>
    <row r="560" spans="1:19">
      <c r="A560" s="1"/>
      <c r="E560" s="42"/>
      <c r="G560" s="40"/>
      <c r="M560" s="53"/>
      <c r="P560" s="53"/>
      <c r="Q560" s="53"/>
      <c r="R560" s="53"/>
      <c r="S560" s="53"/>
    </row>
    <row r="561" spans="1:19">
      <c r="A561" s="1"/>
      <c r="E561" s="42"/>
      <c r="F561" s="42"/>
      <c r="G561" s="40"/>
      <c r="M561" s="53"/>
      <c r="P561" s="53"/>
      <c r="Q561" s="53"/>
      <c r="R561" s="53"/>
      <c r="S561" s="53"/>
    </row>
    <row r="562" spans="1:19">
      <c r="A562" s="1"/>
      <c r="E562" s="42"/>
      <c r="G562" s="40"/>
      <c r="M562" s="53"/>
      <c r="P562" s="53"/>
      <c r="Q562" s="53"/>
      <c r="R562" s="53"/>
      <c r="S562" s="53"/>
    </row>
    <row r="563" spans="1:19">
      <c r="A563" s="1"/>
      <c r="E563" s="42"/>
      <c r="F563" s="42"/>
      <c r="G563" s="40"/>
      <c r="M563" s="53"/>
      <c r="P563" s="53"/>
      <c r="Q563" s="53"/>
      <c r="R563" s="53"/>
      <c r="S563" s="53"/>
    </row>
    <row r="564" spans="1:19">
      <c r="A564" s="1"/>
      <c r="E564" s="42"/>
      <c r="G564" s="40"/>
      <c r="M564" s="53"/>
      <c r="P564" s="53"/>
      <c r="Q564" s="53"/>
      <c r="R564" s="53"/>
      <c r="S564" s="53"/>
    </row>
    <row r="565" spans="1:19">
      <c r="A565" s="1"/>
      <c r="E565" s="42"/>
      <c r="F565" s="42"/>
      <c r="G565" s="40"/>
      <c r="M565" s="53"/>
      <c r="P565" s="53"/>
      <c r="Q565" s="53"/>
      <c r="R565" s="53"/>
      <c r="S565" s="53"/>
    </row>
    <row r="566" spans="1:19">
      <c r="A566" s="1"/>
      <c r="E566" s="42"/>
      <c r="G566" s="40"/>
      <c r="M566" s="53"/>
      <c r="P566" s="53"/>
      <c r="Q566" s="53"/>
      <c r="R566" s="53"/>
      <c r="S566" s="53"/>
    </row>
    <row r="567" spans="1:19">
      <c r="A567" s="1"/>
      <c r="E567" s="42"/>
      <c r="F567" s="42"/>
      <c r="G567" s="40"/>
      <c r="M567" s="53"/>
      <c r="P567" s="53"/>
      <c r="Q567" s="53"/>
      <c r="R567" s="53"/>
      <c r="S567" s="53"/>
    </row>
    <row r="568" spans="1:19">
      <c r="A568" s="1"/>
      <c r="E568" s="42"/>
      <c r="G568" s="40"/>
      <c r="M568" s="53"/>
      <c r="P568" s="53"/>
      <c r="Q568" s="53"/>
      <c r="R568" s="53"/>
      <c r="S568" s="53"/>
    </row>
    <row r="569" spans="1:19">
      <c r="A569" s="1"/>
      <c r="E569" s="42"/>
      <c r="F569" s="42"/>
      <c r="G569" s="40"/>
      <c r="M569" s="53"/>
      <c r="P569" s="53"/>
      <c r="Q569" s="53"/>
      <c r="R569" s="53"/>
      <c r="S569" s="53"/>
    </row>
    <row r="570" spans="1:19">
      <c r="A570" s="1"/>
      <c r="E570" s="42"/>
      <c r="G570" s="40"/>
      <c r="M570" s="53"/>
      <c r="P570" s="53"/>
      <c r="Q570" s="53"/>
      <c r="R570" s="53"/>
      <c r="S570" s="53"/>
    </row>
    <row r="571" spans="1:19">
      <c r="A571" s="1"/>
      <c r="E571" s="42"/>
      <c r="F571" s="42"/>
      <c r="G571" s="40"/>
      <c r="M571" s="53"/>
      <c r="P571" s="53"/>
      <c r="Q571" s="53"/>
      <c r="R571" s="53"/>
      <c r="S571" s="53"/>
    </row>
    <row r="572" spans="1:19">
      <c r="A572" s="1"/>
      <c r="E572" s="42"/>
      <c r="G572" s="40"/>
      <c r="M572" s="53"/>
      <c r="P572" s="53"/>
      <c r="Q572" s="53"/>
      <c r="R572" s="53"/>
      <c r="S572" s="53"/>
    </row>
    <row r="573" spans="1:19">
      <c r="A573" s="1"/>
      <c r="E573" s="42"/>
      <c r="F573" s="42"/>
      <c r="G573" s="40"/>
      <c r="M573" s="53"/>
      <c r="P573" s="53"/>
      <c r="Q573" s="53"/>
      <c r="R573" s="53"/>
      <c r="S573" s="53"/>
    </row>
    <row r="574" spans="1:19">
      <c r="A574" s="1"/>
      <c r="E574" s="42"/>
      <c r="G574" s="40"/>
      <c r="M574" s="53"/>
      <c r="P574" s="53"/>
      <c r="Q574" s="53"/>
      <c r="R574" s="53"/>
      <c r="S574" s="53"/>
    </row>
    <row r="575" spans="1:19">
      <c r="A575" s="1"/>
      <c r="E575" s="42"/>
      <c r="F575" s="42"/>
      <c r="G575" s="40"/>
      <c r="M575" s="53"/>
      <c r="P575" s="53"/>
      <c r="Q575" s="53"/>
      <c r="R575" s="53"/>
      <c r="S575" s="53"/>
    </row>
    <row r="576" spans="1:19">
      <c r="A576" s="1"/>
      <c r="E576" s="42"/>
      <c r="G576" s="40"/>
      <c r="M576" s="53"/>
      <c r="P576" s="53"/>
      <c r="Q576" s="53"/>
      <c r="R576" s="53"/>
      <c r="S576" s="53"/>
    </row>
    <row r="577" spans="1:19">
      <c r="A577" s="1"/>
      <c r="E577" s="42"/>
      <c r="F577" s="42"/>
      <c r="G577" s="40"/>
      <c r="M577" s="53"/>
      <c r="P577" s="53"/>
      <c r="Q577" s="53"/>
      <c r="R577" s="53"/>
      <c r="S577" s="53"/>
    </row>
    <row r="578" spans="1:19">
      <c r="A578" s="1"/>
      <c r="E578" s="42"/>
      <c r="G578" s="40"/>
      <c r="M578" s="53"/>
      <c r="P578" s="53"/>
      <c r="Q578" s="53"/>
      <c r="R578" s="53"/>
      <c r="S578" s="53"/>
    </row>
    <row r="579" spans="1:19">
      <c r="A579" s="1"/>
      <c r="E579" s="42"/>
      <c r="F579" s="42"/>
      <c r="G579" s="40"/>
      <c r="M579" s="53"/>
      <c r="P579" s="53"/>
      <c r="Q579" s="53"/>
      <c r="R579" s="53"/>
      <c r="S579" s="53"/>
    </row>
    <row r="580" spans="1:19">
      <c r="A580" s="1"/>
      <c r="E580" s="42"/>
      <c r="G580" s="40"/>
      <c r="M580" s="53"/>
      <c r="P580" s="53"/>
      <c r="Q580" s="53"/>
      <c r="R580" s="53"/>
      <c r="S580" s="53"/>
    </row>
    <row r="581" spans="1:19">
      <c r="A581" s="1"/>
      <c r="E581" s="42"/>
      <c r="F581" s="42"/>
      <c r="G581" s="40"/>
      <c r="M581" s="53"/>
      <c r="P581" s="53"/>
      <c r="Q581" s="53"/>
      <c r="R581" s="53"/>
      <c r="S581" s="53"/>
    </row>
    <row r="582" spans="1:19">
      <c r="A582" s="1"/>
      <c r="E582" s="42"/>
      <c r="G582" s="40"/>
      <c r="M582" s="53"/>
      <c r="P582" s="53"/>
      <c r="Q582" s="53"/>
      <c r="R582" s="53"/>
      <c r="S582" s="53"/>
    </row>
    <row r="583" spans="1:19">
      <c r="A583" s="1"/>
      <c r="E583" s="42"/>
      <c r="F583" s="42"/>
      <c r="G583" s="40"/>
      <c r="M583" s="53"/>
      <c r="P583" s="53"/>
      <c r="Q583" s="53"/>
      <c r="R583" s="53"/>
      <c r="S583" s="53"/>
    </row>
    <row r="584" spans="1:19">
      <c r="A584" s="1"/>
      <c r="E584" s="42"/>
      <c r="G584" s="40"/>
      <c r="M584" s="53"/>
      <c r="P584" s="53"/>
      <c r="Q584" s="53"/>
      <c r="R584" s="53"/>
      <c r="S584" s="53"/>
    </row>
    <row r="585" spans="1:19">
      <c r="A585" s="1"/>
      <c r="E585" s="42"/>
      <c r="F585" s="42"/>
      <c r="G585" s="40"/>
      <c r="M585" s="53"/>
      <c r="P585" s="53"/>
      <c r="Q585" s="53"/>
      <c r="R585" s="53"/>
      <c r="S585" s="53"/>
    </row>
    <row r="586" spans="1:19">
      <c r="A586" s="1"/>
      <c r="E586" s="42"/>
      <c r="G586" s="40"/>
      <c r="M586" s="53"/>
      <c r="P586" s="53"/>
      <c r="Q586" s="53"/>
      <c r="R586" s="53"/>
      <c r="S586" s="53"/>
    </row>
    <row r="587" spans="1:19">
      <c r="A587" s="1"/>
      <c r="E587" s="42"/>
      <c r="F587" s="42"/>
      <c r="G587" s="40"/>
      <c r="M587" s="53"/>
      <c r="P587" s="53"/>
      <c r="Q587" s="53"/>
      <c r="R587" s="53"/>
      <c r="S587" s="53"/>
    </row>
    <row r="588" spans="1:19">
      <c r="A588" s="1"/>
      <c r="E588" s="42"/>
      <c r="G588" s="40"/>
      <c r="M588" s="53"/>
      <c r="P588" s="53"/>
      <c r="Q588" s="53"/>
      <c r="R588" s="53"/>
      <c r="S588" s="53"/>
    </row>
    <row r="589" spans="1:19">
      <c r="A589" s="1"/>
      <c r="E589" s="42"/>
      <c r="F589" s="42"/>
      <c r="G589" s="40"/>
      <c r="M589" s="53"/>
      <c r="P589" s="53"/>
      <c r="Q589" s="53"/>
      <c r="R589" s="53"/>
      <c r="S589" s="53"/>
    </row>
    <row r="590" spans="1:19">
      <c r="A590" s="1"/>
      <c r="E590" s="42"/>
      <c r="G590" s="40"/>
      <c r="M590" s="53"/>
      <c r="P590" s="53"/>
      <c r="Q590" s="53"/>
      <c r="R590" s="53"/>
      <c r="S590" s="53"/>
    </row>
    <row r="591" spans="1:19">
      <c r="A591" s="1"/>
      <c r="E591" s="42"/>
      <c r="F591" s="42"/>
      <c r="G591" s="40"/>
      <c r="M591" s="53"/>
      <c r="P591" s="53"/>
      <c r="Q591" s="53"/>
      <c r="R591" s="53"/>
      <c r="S591" s="53"/>
    </row>
    <row r="592" spans="1:19">
      <c r="A592" s="1"/>
      <c r="E592" s="42"/>
      <c r="G592" s="40"/>
      <c r="M592" s="53"/>
      <c r="P592" s="53"/>
      <c r="Q592" s="53"/>
      <c r="R592" s="53"/>
      <c r="S592" s="53"/>
    </row>
    <row r="593" spans="1:19">
      <c r="A593" s="1"/>
      <c r="E593" s="42"/>
      <c r="F593" s="42"/>
      <c r="G593" s="40"/>
      <c r="M593" s="53"/>
      <c r="P593" s="53"/>
      <c r="Q593" s="53"/>
      <c r="R593" s="53"/>
      <c r="S593" s="53"/>
    </row>
    <row r="594" spans="1:19">
      <c r="A594" s="1"/>
      <c r="E594" s="42"/>
      <c r="G594" s="40"/>
      <c r="M594" s="53"/>
      <c r="P594" s="53"/>
      <c r="Q594" s="53"/>
      <c r="R594" s="53"/>
      <c r="S594" s="53"/>
    </row>
    <row r="595" spans="1:19">
      <c r="A595" s="1"/>
      <c r="E595" s="42"/>
      <c r="F595" s="42"/>
      <c r="G595" s="40"/>
      <c r="M595" s="53"/>
      <c r="P595" s="53"/>
      <c r="Q595" s="53"/>
      <c r="R595" s="53"/>
      <c r="S595" s="53"/>
    </row>
    <row r="596" spans="1:19">
      <c r="A596" s="1"/>
      <c r="E596" s="42"/>
      <c r="G596" s="40"/>
      <c r="M596" s="53"/>
      <c r="P596" s="53"/>
      <c r="Q596" s="53"/>
      <c r="R596" s="53"/>
      <c r="S596" s="53"/>
    </row>
    <row r="597" spans="1:19">
      <c r="A597" s="1"/>
      <c r="E597" s="42"/>
      <c r="F597" s="42"/>
      <c r="G597" s="40"/>
      <c r="M597" s="53"/>
      <c r="P597" s="53"/>
      <c r="Q597" s="53"/>
      <c r="R597" s="53"/>
      <c r="S597" s="53"/>
    </row>
    <row r="598" spans="1:19">
      <c r="A598" s="1"/>
      <c r="E598" s="42"/>
      <c r="G598" s="40"/>
      <c r="M598" s="53"/>
      <c r="P598" s="53"/>
      <c r="Q598" s="53"/>
      <c r="R598" s="53"/>
      <c r="S598" s="53"/>
    </row>
    <row r="599" spans="1:19">
      <c r="A599" s="1"/>
      <c r="E599" s="42"/>
      <c r="F599" s="42"/>
      <c r="G599" s="40"/>
      <c r="M599" s="53"/>
      <c r="P599" s="53"/>
      <c r="Q599" s="53"/>
      <c r="R599" s="53"/>
      <c r="S599" s="53"/>
    </row>
    <row r="600" spans="1:19">
      <c r="A600" s="1"/>
      <c r="E600" s="42"/>
      <c r="G600" s="40"/>
      <c r="M600" s="53"/>
      <c r="P600" s="53"/>
      <c r="Q600" s="53"/>
      <c r="R600" s="53"/>
      <c r="S600" s="53"/>
    </row>
    <row r="601" spans="1:19">
      <c r="A601" s="1"/>
      <c r="E601" s="42"/>
      <c r="F601" s="42"/>
      <c r="G601" s="40"/>
      <c r="M601" s="53"/>
      <c r="P601" s="53"/>
      <c r="Q601" s="53"/>
      <c r="R601" s="53"/>
      <c r="S601" s="53"/>
    </row>
    <row r="602" spans="1:19">
      <c r="A602" s="1"/>
      <c r="E602" s="42"/>
      <c r="G602" s="40"/>
      <c r="M602" s="53"/>
      <c r="P602" s="53"/>
      <c r="Q602" s="53"/>
      <c r="R602" s="53"/>
      <c r="S602" s="53"/>
    </row>
    <row r="603" spans="1:19">
      <c r="A603" s="1"/>
      <c r="E603" s="42"/>
      <c r="F603" s="42"/>
      <c r="G603" s="40"/>
      <c r="M603" s="53"/>
      <c r="P603" s="53"/>
      <c r="Q603" s="53"/>
      <c r="R603" s="53"/>
      <c r="S603" s="53"/>
    </row>
    <row r="604" spans="1:19">
      <c r="A604" s="1"/>
      <c r="E604" s="42"/>
      <c r="G604" s="40"/>
      <c r="M604" s="53"/>
      <c r="P604" s="53"/>
      <c r="Q604" s="53"/>
      <c r="R604" s="53"/>
      <c r="S604" s="53"/>
    </row>
    <row r="605" spans="1:19">
      <c r="A605" s="1"/>
      <c r="E605" s="42"/>
      <c r="F605" s="42"/>
      <c r="G605" s="40"/>
      <c r="M605" s="53"/>
      <c r="P605" s="53"/>
      <c r="Q605" s="53"/>
      <c r="R605" s="53"/>
      <c r="S605" s="53"/>
    </row>
    <row r="606" spans="1:19">
      <c r="A606" s="1"/>
      <c r="E606" s="42"/>
      <c r="G606" s="40"/>
      <c r="M606" s="53"/>
      <c r="P606" s="53"/>
      <c r="Q606" s="53"/>
      <c r="R606" s="53"/>
      <c r="S606" s="53"/>
    </row>
    <row r="607" spans="1:19">
      <c r="A607" s="1"/>
      <c r="E607" s="42"/>
      <c r="F607" s="42"/>
      <c r="G607" s="40"/>
      <c r="M607" s="53"/>
      <c r="P607" s="53"/>
      <c r="Q607" s="53"/>
      <c r="R607" s="53"/>
      <c r="S607" s="53"/>
    </row>
    <row r="608" spans="1:19">
      <c r="A608" s="1"/>
      <c r="E608" s="42"/>
      <c r="G608" s="40"/>
      <c r="M608" s="53"/>
      <c r="P608" s="53"/>
      <c r="Q608" s="53"/>
      <c r="R608" s="53"/>
      <c r="S608" s="53"/>
    </row>
    <row r="609" spans="1:19">
      <c r="A609" s="1"/>
      <c r="E609" s="42"/>
      <c r="F609" s="42"/>
      <c r="G609" s="40"/>
      <c r="M609" s="53"/>
      <c r="P609" s="53"/>
      <c r="Q609" s="53"/>
      <c r="R609" s="53"/>
      <c r="S609" s="53"/>
    </row>
    <row r="610" spans="1:19">
      <c r="A610" s="1"/>
      <c r="E610" s="42"/>
      <c r="G610" s="40"/>
      <c r="M610" s="53"/>
      <c r="P610" s="53"/>
      <c r="Q610" s="53"/>
      <c r="R610" s="53"/>
      <c r="S610" s="53"/>
    </row>
    <row r="611" spans="1:19">
      <c r="A611" s="1"/>
      <c r="E611" s="42"/>
      <c r="F611" s="42"/>
      <c r="G611" s="40"/>
      <c r="M611" s="53"/>
      <c r="P611" s="53"/>
      <c r="Q611" s="53"/>
      <c r="R611" s="53"/>
      <c r="S611" s="53"/>
    </row>
    <row r="612" spans="1:19">
      <c r="A612" s="1"/>
      <c r="E612" s="42"/>
      <c r="G612" s="40"/>
      <c r="M612" s="53"/>
      <c r="P612" s="53"/>
      <c r="Q612" s="53"/>
      <c r="R612" s="53"/>
      <c r="S612" s="53"/>
    </row>
    <row r="613" spans="1:19">
      <c r="A613" s="1"/>
      <c r="E613" s="42"/>
      <c r="F613" s="42"/>
      <c r="G613" s="40"/>
      <c r="M613" s="53"/>
      <c r="P613" s="53"/>
      <c r="Q613" s="53"/>
      <c r="R613" s="53"/>
      <c r="S613" s="53"/>
    </row>
    <row r="614" spans="1:19">
      <c r="A614" s="1"/>
      <c r="E614" s="42"/>
      <c r="G614" s="40"/>
      <c r="M614" s="53"/>
      <c r="P614" s="53"/>
      <c r="Q614" s="53"/>
      <c r="R614" s="53"/>
      <c r="S614" s="53"/>
    </row>
    <row r="615" spans="1:19">
      <c r="A615" s="1"/>
      <c r="E615" s="42"/>
      <c r="F615" s="42"/>
      <c r="G615" s="40"/>
      <c r="M615" s="53"/>
      <c r="P615" s="53"/>
      <c r="Q615" s="53"/>
      <c r="R615" s="53"/>
      <c r="S615" s="53"/>
    </row>
    <row r="616" spans="1:19">
      <c r="A616" s="1"/>
      <c r="E616" s="42"/>
      <c r="G616" s="40"/>
      <c r="M616" s="53"/>
      <c r="P616" s="53"/>
      <c r="Q616" s="53"/>
      <c r="R616" s="53"/>
      <c r="S616" s="53"/>
    </row>
    <row r="617" spans="1:19">
      <c r="A617" s="1"/>
      <c r="E617" s="42"/>
      <c r="F617" s="42"/>
      <c r="G617" s="40"/>
      <c r="M617" s="53"/>
      <c r="P617" s="53"/>
      <c r="Q617" s="53"/>
      <c r="R617" s="53"/>
      <c r="S617" s="53"/>
    </row>
    <row r="618" spans="1:19">
      <c r="A618" s="1"/>
      <c r="E618" s="42"/>
      <c r="G618" s="40"/>
      <c r="M618" s="53"/>
      <c r="P618" s="53"/>
      <c r="Q618" s="53"/>
      <c r="R618" s="53"/>
      <c r="S618" s="53"/>
    </row>
    <row r="619" spans="1:19">
      <c r="A619" s="1"/>
      <c r="E619" s="42"/>
      <c r="F619" s="42"/>
      <c r="G619" s="40"/>
      <c r="M619" s="53"/>
      <c r="P619" s="53"/>
      <c r="Q619" s="53"/>
      <c r="R619" s="53"/>
      <c r="S619" s="53"/>
    </row>
    <row r="620" spans="1:19">
      <c r="A620" s="1"/>
      <c r="E620" s="42"/>
      <c r="G620" s="40"/>
      <c r="M620" s="53"/>
      <c r="P620" s="53"/>
      <c r="Q620" s="53"/>
      <c r="R620" s="53"/>
      <c r="S620" s="53"/>
    </row>
    <row r="621" spans="1:19">
      <c r="A621" s="1"/>
      <c r="E621" s="42"/>
      <c r="F621" s="42"/>
      <c r="G621" s="40"/>
      <c r="M621" s="53"/>
      <c r="P621" s="53"/>
      <c r="Q621" s="53"/>
      <c r="R621" s="53"/>
      <c r="S621" s="53"/>
    </row>
    <row r="622" spans="1:19">
      <c r="A622" s="1"/>
      <c r="E622" s="42"/>
      <c r="G622" s="40"/>
      <c r="M622" s="53"/>
      <c r="P622" s="53"/>
      <c r="Q622" s="53"/>
      <c r="R622" s="53"/>
      <c r="S622" s="53"/>
    </row>
    <row r="623" spans="1:19">
      <c r="A623" s="1"/>
      <c r="E623" s="42"/>
      <c r="F623" s="42"/>
      <c r="G623" s="40"/>
      <c r="M623" s="53"/>
      <c r="P623" s="53"/>
      <c r="Q623" s="53"/>
      <c r="R623" s="53"/>
      <c r="S623" s="53"/>
    </row>
    <row r="624" spans="1:19">
      <c r="A624" s="1"/>
      <c r="E624" s="42"/>
      <c r="G624" s="40"/>
      <c r="M624" s="53"/>
      <c r="P624" s="53"/>
      <c r="Q624" s="53"/>
      <c r="R624" s="53"/>
      <c r="S624" s="53"/>
    </row>
    <row r="625" spans="1:19">
      <c r="A625" s="1"/>
      <c r="E625" s="42"/>
      <c r="F625" s="42"/>
      <c r="G625" s="40"/>
      <c r="M625" s="53"/>
      <c r="P625" s="53"/>
      <c r="Q625" s="53"/>
      <c r="R625" s="53"/>
      <c r="S625" s="53"/>
    </row>
    <row r="626" spans="1:19">
      <c r="A626" s="1"/>
      <c r="E626" s="42"/>
      <c r="G626" s="40"/>
      <c r="M626" s="53"/>
      <c r="P626" s="53"/>
      <c r="Q626" s="53"/>
      <c r="R626" s="53"/>
      <c r="S626" s="53"/>
    </row>
    <row r="627" spans="1:19">
      <c r="A627" s="1"/>
      <c r="E627" s="42"/>
      <c r="F627" s="42"/>
      <c r="G627" s="40"/>
      <c r="M627" s="53"/>
      <c r="P627" s="53"/>
      <c r="Q627" s="53"/>
      <c r="R627" s="53"/>
      <c r="S627" s="53"/>
    </row>
    <row r="628" spans="1:19">
      <c r="A628" s="1"/>
      <c r="E628" s="42"/>
      <c r="G628" s="40"/>
      <c r="M628" s="53"/>
      <c r="P628" s="53"/>
      <c r="Q628" s="53"/>
      <c r="R628" s="53"/>
      <c r="S628" s="53"/>
    </row>
    <row r="629" spans="1:19">
      <c r="A629" s="1"/>
      <c r="E629" s="42"/>
      <c r="F629" s="42"/>
      <c r="G629" s="40"/>
      <c r="M629" s="53"/>
      <c r="P629" s="53"/>
      <c r="Q629" s="53"/>
      <c r="R629" s="53"/>
      <c r="S629" s="53"/>
    </row>
    <row r="630" spans="1:19">
      <c r="A630" s="1"/>
      <c r="E630" s="42"/>
      <c r="G630" s="40"/>
      <c r="M630" s="53"/>
      <c r="P630" s="53"/>
      <c r="Q630" s="53"/>
      <c r="R630" s="53"/>
      <c r="S630" s="53"/>
    </row>
    <row r="631" spans="1:19">
      <c r="A631" s="1"/>
      <c r="E631" s="42"/>
      <c r="F631" s="42"/>
      <c r="G631" s="40"/>
      <c r="M631" s="53"/>
      <c r="P631" s="53"/>
      <c r="Q631" s="53"/>
      <c r="R631" s="53"/>
      <c r="S631" s="53"/>
    </row>
    <row r="632" spans="1:19">
      <c r="A632" s="1"/>
      <c r="E632" s="42"/>
      <c r="G632" s="40"/>
      <c r="M632" s="53"/>
      <c r="P632" s="53"/>
      <c r="Q632" s="53"/>
      <c r="R632" s="53"/>
      <c r="S632" s="53"/>
    </row>
    <row r="633" spans="1:19">
      <c r="A633" s="1"/>
      <c r="E633" s="42"/>
      <c r="F633" s="42"/>
      <c r="G633" s="40"/>
      <c r="M633" s="53"/>
      <c r="P633" s="53"/>
      <c r="Q633" s="53"/>
      <c r="R633" s="53"/>
      <c r="S633" s="53"/>
    </row>
    <row r="634" spans="1:19">
      <c r="A634" s="1"/>
      <c r="E634" s="42"/>
      <c r="G634" s="40"/>
      <c r="M634" s="53"/>
      <c r="P634" s="53"/>
      <c r="Q634" s="53"/>
      <c r="R634" s="53"/>
      <c r="S634" s="53"/>
    </row>
    <row r="635" spans="1:19">
      <c r="A635" s="1"/>
      <c r="E635" s="42"/>
      <c r="F635" s="42"/>
      <c r="G635" s="40"/>
      <c r="M635" s="53"/>
      <c r="P635" s="53"/>
      <c r="Q635" s="53"/>
      <c r="R635" s="53"/>
      <c r="S635" s="53"/>
    </row>
    <row r="636" spans="1:19">
      <c r="A636" s="1"/>
      <c r="E636" s="42"/>
      <c r="G636" s="40"/>
      <c r="M636" s="53"/>
      <c r="P636" s="53"/>
      <c r="Q636" s="53"/>
      <c r="R636" s="53"/>
      <c r="S636" s="53"/>
    </row>
    <row r="637" spans="1:19">
      <c r="A637" s="1"/>
      <c r="E637" s="42"/>
      <c r="F637" s="42"/>
      <c r="G637" s="40"/>
      <c r="M637" s="53"/>
      <c r="P637" s="53"/>
      <c r="Q637" s="53"/>
      <c r="R637" s="53"/>
      <c r="S637" s="53"/>
    </row>
    <row r="638" spans="1:19">
      <c r="A638" s="1"/>
      <c r="E638" s="42"/>
      <c r="G638" s="40"/>
      <c r="M638" s="53"/>
      <c r="P638" s="53"/>
      <c r="Q638" s="53"/>
      <c r="R638" s="53"/>
      <c r="S638" s="53"/>
    </row>
    <row r="639" spans="1:19">
      <c r="A639" s="1"/>
      <c r="E639" s="42"/>
      <c r="F639" s="42"/>
      <c r="G639" s="40"/>
      <c r="M639" s="53"/>
      <c r="P639" s="53"/>
      <c r="Q639" s="53"/>
      <c r="R639" s="53"/>
      <c r="S639" s="53"/>
    </row>
    <row r="640" spans="1:19">
      <c r="A640" s="1"/>
      <c r="E640" s="42"/>
      <c r="G640" s="40"/>
      <c r="M640" s="53"/>
      <c r="P640" s="53"/>
      <c r="Q640" s="53"/>
      <c r="R640" s="53"/>
      <c r="S640" s="53"/>
    </row>
    <row r="641" spans="1:19">
      <c r="A641" s="1"/>
      <c r="E641" s="42"/>
      <c r="F641" s="42"/>
      <c r="G641" s="40"/>
      <c r="M641" s="53"/>
      <c r="P641" s="53"/>
      <c r="Q641" s="53"/>
      <c r="R641" s="53"/>
      <c r="S641" s="53"/>
    </row>
    <row r="642" spans="1:19">
      <c r="A642" s="1"/>
      <c r="E642" s="42"/>
      <c r="G642" s="40"/>
      <c r="M642" s="53"/>
      <c r="P642" s="53"/>
      <c r="Q642" s="53"/>
      <c r="R642" s="53"/>
      <c r="S642" s="53"/>
    </row>
    <row r="643" spans="1:19">
      <c r="A643" s="1"/>
      <c r="E643" s="42"/>
      <c r="F643" s="42"/>
      <c r="G643" s="40"/>
      <c r="M643" s="53"/>
      <c r="P643" s="53"/>
      <c r="Q643" s="53"/>
      <c r="R643" s="53"/>
      <c r="S643" s="53"/>
    </row>
    <row r="644" spans="1:19">
      <c r="A644" s="1"/>
      <c r="E644" s="42"/>
      <c r="G644" s="40"/>
      <c r="M644" s="53"/>
      <c r="P644" s="53"/>
      <c r="Q644" s="53"/>
      <c r="R644" s="53"/>
      <c r="S644" s="53"/>
    </row>
    <row r="645" spans="1:19">
      <c r="A645" s="1"/>
      <c r="E645" s="42"/>
      <c r="F645" s="42"/>
      <c r="G645" s="40"/>
      <c r="M645" s="53"/>
      <c r="P645" s="53"/>
      <c r="Q645" s="53"/>
      <c r="R645" s="53"/>
      <c r="S645" s="53"/>
    </row>
    <row r="646" spans="1:19">
      <c r="A646" s="1"/>
      <c r="E646" s="42"/>
      <c r="G646" s="40"/>
      <c r="M646" s="53"/>
      <c r="P646" s="53"/>
      <c r="Q646" s="53"/>
      <c r="R646" s="53"/>
      <c r="S646" s="53"/>
    </row>
    <row r="647" spans="1:19">
      <c r="A647" s="1"/>
      <c r="E647" s="42"/>
      <c r="F647" s="42"/>
      <c r="G647" s="40"/>
      <c r="M647" s="53"/>
      <c r="P647" s="53"/>
      <c r="Q647" s="53"/>
      <c r="R647" s="53"/>
      <c r="S647" s="53"/>
    </row>
    <row r="648" spans="1:19">
      <c r="A648" s="1"/>
      <c r="E648" s="42"/>
      <c r="G648" s="40"/>
      <c r="M648" s="53"/>
      <c r="P648" s="53"/>
      <c r="Q648" s="53"/>
      <c r="R648" s="53"/>
      <c r="S648" s="53"/>
    </row>
    <row r="649" spans="1:19">
      <c r="A649" s="1"/>
      <c r="E649" s="42"/>
      <c r="F649" s="42"/>
      <c r="G649" s="40"/>
      <c r="M649" s="53"/>
      <c r="P649" s="53"/>
      <c r="Q649" s="53"/>
      <c r="R649" s="53"/>
      <c r="S649" s="53"/>
    </row>
    <row r="650" spans="1:19">
      <c r="A650" s="1"/>
      <c r="E650" s="42"/>
      <c r="G650" s="40"/>
      <c r="M650" s="53"/>
      <c r="P650" s="53"/>
      <c r="Q650" s="53"/>
      <c r="R650" s="53"/>
      <c r="S650" s="53"/>
    </row>
    <row r="651" spans="1:19">
      <c r="A651" s="1"/>
      <c r="E651" s="42"/>
      <c r="F651" s="42"/>
      <c r="G651" s="40"/>
      <c r="M651" s="53"/>
      <c r="P651" s="53"/>
      <c r="Q651" s="53"/>
      <c r="R651" s="53"/>
      <c r="S651" s="53"/>
    </row>
    <row r="652" spans="1:19">
      <c r="A652" s="1"/>
      <c r="E652" s="42"/>
      <c r="G652" s="40"/>
      <c r="M652" s="53"/>
      <c r="P652" s="53"/>
      <c r="Q652" s="53"/>
      <c r="R652" s="53"/>
      <c r="S652" s="53"/>
    </row>
    <row r="653" spans="1:19">
      <c r="A653" s="1"/>
      <c r="E653" s="42"/>
      <c r="F653" s="42"/>
      <c r="G653" s="40"/>
      <c r="M653" s="53"/>
      <c r="P653" s="53"/>
      <c r="Q653" s="53"/>
      <c r="R653" s="53"/>
      <c r="S653" s="53"/>
    </row>
    <row r="654" spans="1:19">
      <c r="A654" s="1"/>
      <c r="E654" s="42"/>
      <c r="G654" s="40"/>
      <c r="M654" s="53"/>
      <c r="P654" s="53"/>
      <c r="Q654" s="53"/>
      <c r="R654" s="53"/>
      <c r="S654" s="53"/>
    </row>
    <row r="655" spans="1:19">
      <c r="A655" s="1"/>
      <c r="E655" s="42"/>
      <c r="F655" s="42"/>
      <c r="G655" s="40"/>
      <c r="M655" s="53"/>
      <c r="P655" s="53"/>
      <c r="Q655" s="53"/>
      <c r="R655" s="53"/>
      <c r="S655" s="53"/>
    </row>
    <row r="656" spans="1:19">
      <c r="A656" s="1"/>
      <c r="E656" s="42"/>
      <c r="G656" s="40"/>
      <c r="M656" s="53"/>
      <c r="P656" s="53"/>
      <c r="Q656" s="53"/>
      <c r="R656" s="53"/>
      <c r="S656" s="53"/>
    </row>
    <row r="657" spans="1:19">
      <c r="A657" s="1"/>
      <c r="E657" s="42"/>
      <c r="F657" s="42"/>
      <c r="G657" s="40"/>
      <c r="M657" s="53"/>
      <c r="P657" s="53"/>
      <c r="Q657" s="53"/>
      <c r="R657" s="53"/>
      <c r="S657" s="53"/>
    </row>
    <row r="658" spans="1:19">
      <c r="A658" s="1"/>
      <c r="E658" s="42"/>
      <c r="G658" s="40"/>
      <c r="M658" s="53"/>
      <c r="P658" s="53"/>
      <c r="Q658" s="53"/>
      <c r="R658" s="53"/>
      <c r="S658" s="53"/>
    </row>
    <row r="659" spans="1:19">
      <c r="A659" s="1"/>
      <c r="E659" s="42"/>
      <c r="F659" s="42"/>
      <c r="G659" s="40"/>
      <c r="M659" s="53"/>
      <c r="P659" s="53"/>
      <c r="Q659" s="53"/>
      <c r="R659" s="53"/>
      <c r="S659" s="53"/>
    </row>
    <row r="660" spans="1:19">
      <c r="A660" s="1"/>
      <c r="E660" s="42"/>
      <c r="G660" s="40"/>
      <c r="M660" s="53"/>
      <c r="P660" s="53"/>
      <c r="Q660" s="53"/>
      <c r="R660" s="53"/>
      <c r="S660" s="53"/>
    </row>
    <row r="661" spans="1:19">
      <c r="A661" s="1"/>
      <c r="E661" s="42"/>
      <c r="F661" s="42"/>
      <c r="G661" s="40"/>
      <c r="M661" s="53"/>
      <c r="P661" s="53"/>
      <c r="Q661" s="53"/>
      <c r="R661" s="53"/>
      <c r="S661" s="53"/>
    </row>
    <row r="662" spans="1:19">
      <c r="A662" s="1"/>
      <c r="E662" s="42"/>
      <c r="G662" s="40"/>
      <c r="M662" s="53"/>
      <c r="P662" s="53"/>
      <c r="Q662" s="53"/>
      <c r="R662" s="53"/>
      <c r="S662" s="53"/>
    </row>
    <row r="663" spans="1:19">
      <c r="A663" s="1"/>
      <c r="E663" s="42"/>
      <c r="F663" s="42"/>
      <c r="G663" s="40"/>
      <c r="M663" s="53"/>
      <c r="P663" s="53"/>
      <c r="Q663" s="53"/>
      <c r="R663" s="53"/>
      <c r="S663" s="53"/>
    </row>
    <row r="664" spans="1:19">
      <c r="A664" s="1"/>
      <c r="E664" s="42"/>
      <c r="G664" s="40"/>
      <c r="M664" s="53"/>
      <c r="P664" s="53"/>
      <c r="Q664" s="53"/>
      <c r="R664" s="53"/>
      <c r="S664" s="53"/>
    </row>
    <row r="665" spans="1:19">
      <c r="A665" s="1"/>
      <c r="E665" s="42"/>
      <c r="F665" s="42"/>
      <c r="G665" s="40"/>
      <c r="M665" s="53"/>
      <c r="P665" s="53"/>
      <c r="Q665" s="53"/>
      <c r="R665" s="53"/>
      <c r="S665" s="53"/>
    </row>
    <row r="666" spans="1:19">
      <c r="A666" s="1"/>
      <c r="E666" s="42"/>
      <c r="G666" s="40"/>
      <c r="M666" s="53"/>
      <c r="P666" s="53"/>
      <c r="Q666" s="53"/>
      <c r="R666" s="53"/>
      <c r="S666" s="53"/>
    </row>
    <row r="667" spans="1:19">
      <c r="A667" s="1"/>
      <c r="E667" s="42"/>
      <c r="F667" s="42"/>
      <c r="G667" s="40"/>
      <c r="M667" s="53"/>
      <c r="P667" s="53"/>
      <c r="Q667" s="53"/>
      <c r="R667" s="53"/>
      <c r="S667" s="53"/>
    </row>
    <row r="668" spans="1:19">
      <c r="A668" s="1"/>
      <c r="E668" s="42"/>
      <c r="G668" s="40"/>
      <c r="M668" s="53"/>
      <c r="P668" s="53"/>
      <c r="Q668" s="53"/>
      <c r="R668" s="53"/>
      <c r="S668" s="53"/>
    </row>
    <row r="669" spans="1:19">
      <c r="A669" s="1"/>
      <c r="E669" s="42"/>
      <c r="F669" s="42"/>
      <c r="G669" s="40"/>
      <c r="M669" s="53"/>
      <c r="P669" s="53"/>
      <c r="Q669" s="53"/>
      <c r="R669" s="53"/>
      <c r="S669" s="53"/>
    </row>
    <row r="670" spans="1:19">
      <c r="A670" s="1"/>
      <c r="E670" s="42"/>
      <c r="G670" s="40"/>
      <c r="M670" s="53"/>
      <c r="P670" s="53"/>
      <c r="Q670" s="53"/>
      <c r="R670" s="53"/>
      <c r="S670" s="53"/>
    </row>
    <row r="671" spans="1:19">
      <c r="A671" s="1"/>
      <c r="E671" s="42"/>
      <c r="F671" s="42"/>
      <c r="G671" s="40"/>
      <c r="M671" s="53"/>
      <c r="P671" s="53"/>
      <c r="Q671" s="53"/>
      <c r="R671" s="53"/>
      <c r="S671" s="53"/>
    </row>
    <row r="672" spans="1:19">
      <c r="A672" s="1"/>
      <c r="E672" s="42"/>
      <c r="G672" s="40"/>
      <c r="M672" s="53"/>
      <c r="P672" s="53"/>
      <c r="Q672" s="53"/>
      <c r="R672" s="53"/>
      <c r="S672" s="53"/>
    </row>
    <row r="673" spans="1:19">
      <c r="A673" s="1"/>
      <c r="E673" s="42"/>
      <c r="F673" s="42"/>
      <c r="G673" s="40"/>
      <c r="M673" s="53"/>
      <c r="P673" s="53"/>
      <c r="Q673" s="53"/>
      <c r="R673" s="53"/>
      <c r="S673" s="53"/>
    </row>
    <row r="674" spans="1:19">
      <c r="A674" s="1"/>
      <c r="E674" s="42"/>
      <c r="G674" s="40"/>
      <c r="M674" s="53"/>
      <c r="P674" s="53"/>
      <c r="Q674" s="53"/>
      <c r="R674" s="53"/>
      <c r="S674" s="53"/>
    </row>
    <row r="675" spans="1:19">
      <c r="A675" s="1"/>
      <c r="E675" s="42"/>
      <c r="F675" s="42"/>
      <c r="G675" s="40"/>
      <c r="M675" s="53"/>
      <c r="P675" s="53"/>
      <c r="Q675" s="53"/>
      <c r="R675" s="53"/>
      <c r="S675" s="53"/>
    </row>
    <row r="676" spans="1:19">
      <c r="A676" s="1"/>
      <c r="E676" s="42"/>
      <c r="G676" s="40"/>
      <c r="M676" s="53"/>
      <c r="P676" s="53"/>
      <c r="Q676" s="53"/>
      <c r="R676" s="53"/>
      <c r="S676" s="53"/>
    </row>
    <row r="677" spans="1:19">
      <c r="A677" s="1"/>
      <c r="E677" s="42"/>
      <c r="F677" s="42"/>
      <c r="G677" s="40"/>
      <c r="M677" s="53"/>
      <c r="P677" s="53"/>
      <c r="Q677" s="53"/>
      <c r="R677" s="53"/>
      <c r="S677" s="53"/>
    </row>
    <row r="678" spans="1:19">
      <c r="A678" s="1"/>
      <c r="E678" s="42"/>
      <c r="G678" s="40"/>
      <c r="M678" s="53"/>
      <c r="P678" s="53"/>
      <c r="Q678" s="53"/>
      <c r="R678" s="53"/>
      <c r="S678" s="53"/>
    </row>
    <row r="679" spans="1:19">
      <c r="A679" s="1"/>
      <c r="E679" s="42"/>
      <c r="F679" s="42"/>
      <c r="G679" s="40"/>
      <c r="M679" s="53"/>
      <c r="P679" s="53"/>
      <c r="Q679" s="53"/>
      <c r="R679" s="53"/>
      <c r="S679" s="53"/>
    </row>
    <row r="680" spans="1:19">
      <c r="A680" s="1"/>
      <c r="E680" s="42"/>
      <c r="G680" s="40"/>
      <c r="M680" s="53"/>
      <c r="P680" s="53"/>
      <c r="Q680" s="53"/>
      <c r="R680" s="53"/>
      <c r="S680" s="53"/>
    </row>
    <row r="681" spans="1:19">
      <c r="A681" s="1"/>
      <c r="E681" s="42"/>
      <c r="F681" s="42"/>
      <c r="G681" s="40"/>
      <c r="M681" s="53"/>
      <c r="P681" s="53"/>
      <c r="Q681" s="53"/>
      <c r="R681" s="53"/>
      <c r="S681" s="53"/>
    </row>
    <row r="682" spans="1:19">
      <c r="A682" s="1"/>
      <c r="E682" s="42"/>
      <c r="G682" s="40"/>
      <c r="M682" s="53"/>
      <c r="P682" s="53"/>
      <c r="Q682" s="53"/>
      <c r="R682" s="53"/>
      <c r="S682" s="53"/>
    </row>
    <row r="683" spans="1:19">
      <c r="A683" s="1"/>
      <c r="E683" s="42"/>
      <c r="F683" s="42"/>
      <c r="G683" s="40"/>
      <c r="M683" s="53"/>
      <c r="P683" s="53"/>
      <c r="Q683" s="53"/>
      <c r="R683" s="53"/>
      <c r="S683" s="53"/>
    </row>
    <row r="684" spans="1:19">
      <c r="A684" s="1"/>
      <c r="E684" s="42"/>
      <c r="G684" s="40"/>
      <c r="M684" s="53"/>
      <c r="P684" s="53"/>
      <c r="Q684" s="53"/>
      <c r="R684" s="53"/>
      <c r="S684" s="53"/>
    </row>
    <row r="685" spans="1:19">
      <c r="A685" s="1"/>
      <c r="E685" s="42"/>
      <c r="F685" s="42"/>
      <c r="G685" s="40"/>
      <c r="M685" s="53"/>
      <c r="P685" s="53"/>
      <c r="Q685" s="53"/>
      <c r="R685" s="53"/>
      <c r="S685" s="53"/>
    </row>
    <row r="686" spans="1:19">
      <c r="A686" s="1"/>
      <c r="E686" s="42"/>
      <c r="G686" s="40"/>
      <c r="M686" s="53"/>
      <c r="P686" s="53"/>
      <c r="Q686" s="53"/>
      <c r="R686" s="53"/>
      <c r="S686" s="53"/>
    </row>
    <row r="687" spans="1:19">
      <c r="A687" s="1"/>
      <c r="E687" s="42"/>
      <c r="F687" s="42"/>
      <c r="G687" s="40"/>
      <c r="M687" s="53"/>
      <c r="P687" s="53"/>
      <c r="Q687" s="53"/>
      <c r="R687" s="53"/>
      <c r="S687" s="53"/>
    </row>
    <row r="688" spans="1:19">
      <c r="A688" s="1"/>
      <c r="E688" s="42"/>
      <c r="G688" s="40"/>
      <c r="M688" s="53"/>
      <c r="P688" s="53"/>
      <c r="Q688" s="53"/>
      <c r="R688" s="53"/>
      <c r="S688" s="53"/>
    </row>
    <row r="689" spans="1:19">
      <c r="A689" s="1"/>
      <c r="E689" s="42"/>
      <c r="F689" s="42"/>
      <c r="G689" s="40"/>
      <c r="M689" s="53"/>
      <c r="P689" s="53"/>
      <c r="Q689" s="53"/>
      <c r="R689" s="53"/>
      <c r="S689" s="53"/>
    </row>
    <row r="690" spans="1:19">
      <c r="A690" s="1"/>
      <c r="E690" s="42"/>
      <c r="G690" s="40"/>
      <c r="M690" s="53"/>
      <c r="P690" s="53"/>
      <c r="Q690" s="53"/>
      <c r="R690" s="53"/>
      <c r="S690" s="53"/>
    </row>
    <row r="691" spans="1:19">
      <c r="A691" s="1"/>
      <c r="E691" s="42"/>
      <c r="F691" s="42"/>
      <c r="G691" s="40"/>
      <c r="M691" s="53"/>
      <c r="P691" s="53"/>
      <c r="Q691" s="53"/>
      <c r="R691" s="53"/>
      <c r="S691" s="53"/>
    </row>
    <row r="692" spans="1:19">
      <c r="A692" s="1"/>
      <c r="E692" s="42"/>
      <c r="G692" s="40"/>
      <c r="M692" s="53"/>
      <c r="P692" s="53"/>
      <c r="Q692" s="53"/>
      <c r="R692" s="53"/>
      <c r="S692" s="53"/>
    </row>
    <row r="693" spans="1:19">
      <c r="A693" s="1"/>
      <c r="E693" s="42"/>
      <c r="F693" s="42"/>
      <c r="G693" s="40"/>
      <c r="M693" s="53"/>
      <c r="P693" s="53"/>
      <c r="Q693" s="53"/>
      <c r="R693" s="53"/>
      <c r="S693" s="53"/>
    </row>
    <row r="694" spans="1:19">
      <c r="A694" s="1"/>
      <c r="E694" s="42"/>
      <c r="G694" s="40"/>
      <c r="M694" s="53"/>
      <c r="P694" s="53"/>
      <c r="Q694" s="53"/>
      <c r="R694" s="53"/>
      <c r="S694" s="53"/>
    </row>
    <row r="695" spans="1:19">
      <c r="A695" s="1"/>
      <c r="E695" s="42"/>
      <c r="F695" s="42"/>
      <c r="G695" s="40"/>
      <c r="M695" s="53"/>
      <c r="P695" s="53"/>
      <c r="Q695" s="53"/>
      <c r="R695" s="53"/>
      <c r="S695" s="53"/>
    </row>
    <row r="696" spans="1:19">
      <c r="A696" s="1"/>
      <c r="E696" s="42"/>
      <c r="G696" s="40"/>
      <c r="M696" s="53"/>
      <c r="P696" s="53"/>
      <c r="Q696" s="53"/>
      <c r="R696" s="53"/>
      <c r="S696" s="53"/>
    </row>
    <row r="697" spans="1:19">
      <c r="A697" s="1"/>
      <c r="E697" s="42"/>
      <c r="F697" s="42"/>
      <c r="G697" s="40"/>
      <c r="M697" s="53"/>
      <c r="P697" s="53"/>
      <c r="Q697" s="53"/>
      <c r="R697" s="53"/>
      <c r="S697" s="53"/>
    </row>
    <row r="698" spans="1:19">
      <c r="A698" s="1"/>
      <c r="E698" s="42"/>
      <c r="G698" s="40"/>
      <c r="M698" s="53"/>
      <c r="P698" s="53"/>
      <c r="Q698" s="53"/>
      <c r="R698" s="53"/>
      <c r="S698" s="53"/>
    </row>
    <row r="699" spans="1:19">
      <c r="A699" s="1"/>
      <c r="E699" s="42"/>
      <c r="F699" s="42"/>
      <c r="G699" s="40"/>
      <c r="M699" s="53"/>
      <c r="P699" s="53"/>
      <c r="Q699" s="53"/>
      <c r="R699" s="53"/>
      <c r="S699" s="53"/>
    </row>
    <row r="700" spans="1:19">
      <c r="A700" s="1"/>
      <c r="E700" s="42"/>
      <c r="G700" s="40"/>
      <c r="M700" s="53"/>
      <c r="P700" s="53"/>
      <c r="Q700" s="53"/>
      <c r="R700" s="53"/>
      <c r="S700" s="53"/>
    </row>
    <row r="701" spans="1:19">
      <c r="A701" s="1"/>
      <c r="E701" s="42"/>
      <c r="F701" s="42"/>
      <c r="G701" s="40"/>
      <c r="M701" s="53"/>
      <c r="P701" s="53"/>
      <c r="Q701" s="53"/>
      <c r="R701" s="53"/>
      <c r="S701" s="53"/>
    </row>
    <row r="702" spans="1:19">
      <c r="A702" s="1"/>
      <c r="E702" s="42"/>
      <c r="G702" s="40"/>
      <c r="M702" s="53"/>
      <c r="P702" s="53"/>
      <c r="Q702" s="53"/>
      <c r="R702" s="53"/>
      <c r="S702" s="53"/>
    </row>
    <row r="703" spans="1:19">
      <c r="A703" s="1"/>
      <c r="E703" s="42"/>
      <c r="F703" s="42"/>
      <c r="G703" s="40"/>
      <c r="M703" s="53"/>
      <c r="P703" s="53"/>
      <c r="Q703" s="53"/>
      <c r="R703" s="53"/>
      <c r="S703" s="53"/>
    </row>
    <row r="704" spans="1:19">
      <c r="A704" s="1"/>
      <c r="E704" s="42"/>
      <c r="G704" s="40"/>
      <c r="M704" s="53"/>
      <c r="P704" s="53"/>
      <c r="Q704" s="53"/>
      <c r="R704" s="53"/>
      <c r="S704" s="53"/>
    </row>
    <row r="705" spans="1:19">
      <c r="A705" s="1"/>
      <c r="E705" s="42"/>
      <c r="F705" s="42"/>
      <c r="G705" s="40"/>
      <c r="M705" s="53"/>
      <c r="P705" s="53"/>
      <c r="Q705" s="53"/>
      <c r="R705" s="53"/>
      <c r="S705" s="53"/>
    </row>
    <row r="706" spans="1:19">
      <c r="A706" s="1"/>
      <c r="E706" s="42"/>
      <c r="G706" s="40"/>
      <c r="M706" s="53"/>
      <c r="P706" s="53"/>
      <c r="Q706" s="53"/>
      <c r="R706" s="53"/>
      <c r="S706" s="53"/>
    </row>
    <row r="707" spans="1:19">
      <c r="A707" s="1"/>
      <c r="E707" s="42"/>
      <c r="F707" s="42"/>
      <c r="G707" s="40"/>
      <c r="M707" s="53"/>
      <c r="P707" s="53"/>
      <c r="Q707" s="53"/>
      <c r="R707" s="53"/>
      <c r="S707" s="53"/>
    </row>
    <row r="708" spans="1:19">
      <c r="A708" s="1"/>
      <c r="E708" s="42"/>
      <c r="G708" s="40"/>
      <c r="M708" s="53"/>
      <c r="P708" s="53"/>
      <c r="Q708" s="53"/>
      <c r="R708" s="53"/>
      <c r="S708" s="53"/>
    </row>
    <row r="709" spans="1:19">
      <c r="A709" s="1"/>
      <c r="E709" s="42"/>
      <c r="F709" s="42"/>
      <c r="G709" s="40"/>
      <c r="M709" s="53"/>
      <c r="P709" s="53"/>
      <c r="Q709" s="53"/>
      <c r="R709" s="53"/>
      <c r="S709" s="53"/>
    </row>
    <row r="710" spans="1:19">
      <c r="A710" s="1"/>
      <c r="E710" s="42"/>
      <c r="G710" s="40"/>
      <c r="M710" s="53"/>
      <c r="P710" s="53"/>
      <c r="Q710" s="53"/>
      <c r="R710" s="53"/>
      <c r="S710" s="53"/>
    </row>
    <row r="711" spans="1:19">
      <c r="A711" s="1"/>
      <c r="E711" s="42"/>
      <c r="F711" s="42"/>
      <c r="G711" s="40"/>
      <c r="M711" s="53"/>
      <c r="P711" s="53"/>
      <c r="Q711" s="53"/>
      <c r="R711" s="53"/>
      <c r="S711" s="53"/>
    </row>
    <row r="712" spans="1:19">
      <c r="A712" s="1"/>
      <c r="E712" s="42"/>
      <c r="G712" s="40"/>
      <c r="M712" s="53"/>
      <c r="P712" s="53"/>
      <c r="Q712" s="53"/>
      <c r="R712" s="53"/>
      <c r="S712" s="53"/>
    </row>
    <row r="713" spans="1:19">
      <c r="A713" s="1"/>
      <c r="E713" s="42"/>
      <c r="F713" s="42"/>
      <c r="G713" s="40"/>
      <c r="M713" s="53"/>
      <c r="P713" s="53"/>
      <c r="Q713" s="53"/>
      <c r="R713" s="53"/>
      <c r="S713" s="53"/>
    </row>
    <row r="714" spans="1:19">
      <c r="A714" s="1"/>
      <c r="E714" s="42"/>
      <c r="G714" s="40"/>
      <c r="M714" s="53"/>
      <c r="P714" s="53"/>
      <c r="Q714" s="53"/>
      <c r="R714" s="53"/>
      <c r="S714" s="53"/>
    </row>
    <row r="715" spans="1:19">
      <c r="A715" s="1"/>
      <c r="E715" s="42"/>
      <c r="F715" s="42"/>
      <c r="G715" s="40"/>
      <c r="M715" s="53"/>
      <c r="P715" s="53"/>
      <c r="Q715" s="53"/>
      <c r="R715" s="53"/>
      <c r="S715" s="53"/>
    </row>
    <row r="716" spans="1:19">
      <c r="A716" s="1"/>
      <c r="E716" s="42"/>
      <c r="G716" s="40"/>
      <c r="M716" s="53"/>
      <c r="P716" s="53"/>
      <c r="Q716" s="53"/>
      <c r="R716" s="53"/>
      <c r="S716" s="53"/>
    </row>
    <row r="717" spans="1:19">
      <c r="A717" s="1"/>
      <c r="E717" s="42"/>
      <c r="F717" s="42"/>
      <c r="G717" s="40"/>
      <c r="M717" s="53"/>
      <c r="P717" s="53"/>
      <c r="Q717" s="53"/>
      <c r="R717" s="53"/>
      <c r="S717" s="53"/>
    </row>
    <row r="718" spans="1:19">
      <c r="A718" s="1"/>
      <c r="E718" s="42"/>
      <c r="G718" s="40"/>
      <c r="M718" s="53"/>
      <c r="P718" s="53"/>
      <c r="Q718" s="53"/>
      <c r="R718" s="53"/>
      <c r="S718" s="53"/>
    </row>
    <row r="719" spans="1:19">
      <c r="A719" s="1"/>
      <c r="E719" s="42"/>
      <c r="F719" s="42"/>
      <c r="G719" s="40"/>
      <c r="M719" s="53"/>
      <c r="P719" s="53"/>
      <c r="Q719" s="53"/>
      <c r="R719" s="53"/>
      <c r="S719" s="53"/>
    </row>
    <row r="720" spans="1:19">
      <c r="A720" s="1"/>
      <c r="E720" s="42"/>
      <c r="G720" s="40"/>
      <c r="M720" s="53"/>
      <c r="P720" s="53"/>
      <c r="Q720" s="53"/>
      <c r="R720" s="53"/>
      <c r="S720" s="53"/>
    </row>
    <row r="721" spans="1:19">
      <c r="A721" s="1"/>
      <c r="E721" s="42"/>
      <c r="F721" s="42"/>
      <c r="G721" s="40"/>
      <c r="M721" s="53"/>
      <c r="P721" s="53"/>
      <c r="Q721" s="53"/>
      <c r="R721" s="53"/>
      <c r="S721" s="53"/>
    </row>
    <row r="722" spans="1:19">
      <c r="A722" s="1"/>
      <c r="E722" s="42"/>
      <c r="G722" s="40"/>
      <c r="M722" s="53"/>
      <c r="P722" s="53"/>
      <c r="Q722" s="53"/>
      <c r="R722" s="53"/>
      <c r="S722" s="53"/>
    </row>
    <row r="723" spans="1:19">
      <c r="A723" s="1"/>
      <c r="E723" s="42"/>
      <c r="F723" s="42"/>
      <c r="G723" s="40"/>
      <c r="M723" s="53"/>
      <c r="P723" s="53"/>
      <c r="Q723" s="53"/>
      <c r="R723" s="53"/>
      <c r="S723" s="53"/>
    </row>
    <row r="724" spans="1:19">
      <c r="A724" s="1"/>
      <c r="E724" s="42"/>
      <c r="G724" s="40"/>
      <c r="M724" s="53"/>
      <c r="P724" s="53"/>
      <c r="Q724" s="53"/>
      <c r="R724" s="53"/>
      <c r="S724" s="53"/>
    </row>
    <row r="725" spans="1:19">
      <c r="A725" s="1"/>
      <c r="E725" s="42"/>
      <c r="F725" s="42"/>
      <c r="G725" s="40"/>
      <c r="M725" s="53"/>
      <c r="P725" s="53"/>
      <c r="Q725" s="53"/>
      <c r="R725" s="53"/>
      <c r="S725" s="53"/>
    </row>
    <row r="726" spans="1:19">
      <c r="A726" s="1"/>
      <c r="E726" s="42"/>
      <c r="G726" s="40"/>
      <c r="M726" s="53"/>
      <c r="P726" s="53"/>
      <c r="Q726" s="53"/>
      <c r="R726" s="53"/>
      <c r="S726" s="53"/>
    </row>
    <row r="727" spans="1:19">
      <c r="A727" s="1"/>
      <c r="E727" s="42"/>
      <c r="F727" s="42"/>
      <c r="G727" s="40"/>
      <c r="M727" s="53"/>
      <c r="P727" s="53"/>
      <c r="Q727" s="53"/>
      <c r="R727" s="53"/>
      <c r="S727" s="53"/>
    </row>
    <row r="728" spans="1:19">
      <c r="A728" s="1"/>
      <c r="E728" s="42"/>
      <c r="G728" s="40"/>
      <c r="M728" s="53"/>
      <c r="P728" s="53"/>
      <c r="Q728" s="53"/>
      <c r="R728" s="53"/>
      <c r="S728" s="53"/>
    </row>
    <row r="729" spans="1:19">
      <c r="A729" s="1"/>
      <c r="E729" s="42"/>
      <c r="F729" s="42"/>
      <c r="G729" s="40"/>
      <c r="M729" s="53"/>
      <c r="P729" s="53"/>
      <c r="Q729" s="53"/>
      <c r="R729" s="53"/>
      <c r="S729" s="53"/>
    </row>
    <row r="730" spans="1:19">
      <c r="A730" s="1"/>
      <c r="E730" s="42"/>
      <c r="G730" s="40"/>
      <c r="M730" s="53"/>
      <c r="P730" s="53"/>
      <c r="Q730" s="53"/>
      <c r="R730" s="53"/>
      <c r="S730" s="53"/>
    </row>
    <row r="731" spans="1:19">
      <c r="A731" s="1"/>
      <c r="E731" s="42"/>
      <c r="F731" s="42"/>
      <c r="G731" s="40"/>
      <c r="M731" s="53"/>
      <c r="P731" s="53"/>
      <c r="Q731" s="53"/>
      <c r="R731" s="53"/>
      <c r="S731" s="53"/>
    </row>
    <row r="732" spans="1:19">
      <c r="A732" s="1"/>
      <c r="E732" s="42"/>
      <c r="G732" s="40"/>
      <c r="M732" s="53"/>
      <c r="P732" s="53"/>
      <c r="Q732" s="53"/>
      <c r="R732" s="53"/>
      <c r="S732" s="53"/>
    </row>
    <row r="733" spans="1:19">
      <c r="A733" s="1"/>
      <c r="E733" s="42"/>
      <c r="F733" s="42"/>
      <c r="G733" s="40"/>
      <c r="M733" s="53"/>
      <c r="P733" s="53"/>
      <c r="Q733" s="53"/>
      <c r="R733" s="53"/>
      <c r="S733" s="53"/>
    </row>
    <row r="734" spans="1:19">
      <c r="A734" s="1"/>
      <c r="E734" s="42"/>
      <c r="G734" s="40"/>
      <c r="M734" s="53"/>
      <c r="P734" s="53"/>
      <c r="Q734" s="53"/>
      <c r="R734" s="53"/>
      <c r="S734" s="53"/>
    </row>
    <row r="735" spans="1:19">
      <c r="A735" s="1"/>
      <c r="E735" s="42"/>
      <c r="F735" s="42"/>
      <c r="G735" s="40"/>
      <c r="M735" s="53"/>
      <c r="P735" s="53"/>
      <c r="Q735" s="53"/>
      <c r="R735" s="53"/>
      <c r="S735" s="53"/>
    </row>
    <row r="736" spans="1:19">
      <c r="A736" s="1"/>
      <c r="E736" s="42"/>
      <c r="G736" s="40"/>
      <c r="M736" s="53"/>
      <c r="P736" s="53"/>
      <c r="Q736" s="53"/>
      <c r="R736" s="53"/>
      <c r="S736" s="53"/>
    </row>
    <row r="737" spans="1:19">
      <c r="A737" s="1"/>
      <c r="E737" s="42"/>
      <c r="F737" s="42"/>
      <c r="G737" s="40"/>
      <c r="M737" s="53"/>
      <c r="P737" s="53"/>
      <c r="Q737" s="53"/>
      <c r="R737" s="53"/>
      <c r="S737" s="53"/>
    </row>
    <row r="738" spans="1:19">
      <c r="A738" s="1"/>
      <c r="E738" s="42"/>
      <c r="G738" s="40"/>
      <c r="M738" s="53"/>
      <c r="P738" s="53"/>
      <c r="Q738" s="53"/>
      <c r="R738" s="53"/>
      <c r="S738" s="53"/>
    </row>
    <row r="739" spans="1:19">
      <c r="A739" s="1"/>
      <c r="E739" s="42"/>
      <c r="F739" s="42"/>
      <c r="G739" s="40"/>
      <c r="M739" s="53"/>
      <c r="P739" s="53"/>
      <c r="Q739" s="53"/>
      <c r="R739" s="53"/>
      <c r="S739" s="53"/>
    </row>
    <row r="740" spans="1:19">
      <c r="A740" s="1"/>
      <c r="E740" s="42"/>
      <c r="G740" s="40"/>
      <c r="M740" s="53"/>
      <c r="P740" s="53"/>
      <c r="Q740" s="53"/>
      <c r="R740" s="53"/>
      <c r="S740" s="53"/>
    </row>
    <row r="741" spans="1:19">
      <c r="A741" s="1"/>
      <c r="E741" s="42"/>
      <c r="F741" s="42"/>
      <c r="G741" s="40"/>
      <c r="M741" s="53"/>
      <c r="P741" s="53"/>
      <c r="Q741" s="53"/>
      <c r="R741" s="53"/>
      <c r="S741" s="53"/>
    </row>
    <row r="742" spans="1:19">
      <c r="A742" s="1"/>
      <c r="E742" s="42"/>
      <c r="G742" s="40"/>
      <c r="M742" s="53"/>
      <c r="P742" s="53"/>
      <c r="Q742" s="53"/>
      <c r="R742" s="53"/>
      <c r="S742" s="53"/>
    </row>
    <row r="743" spans="1:19">
      <c r="A743" s="1"/>
      <c r="E743" s="42"/>
      <c r="F743" s="42"/>
      <c r="G743" s="40"/>
      <c r="M743" s="53"/>
      <c r="P743" s="53"/>
      <c r="Q743" s="53"/>
      <c r="R743" s="53"/>
      <c r="S743" s="53"/>
    </row>
    <row r="744" spans="1:19">
      <c r="A744" s="1"/>
      <c r="E744" s="42"/>
      <c r="G744" s="40"/>
      <c r="M744" s="53"/>
      <c r="P744" s="53"/>
      <c r="Q744" s="53"/>
      <c r="R744" s="53"/>
      <c r="S744" s="53"/>
    </row>
    <row r="745" spans="1:19">
      <c r="A745" s="1"/>
      <c r="E745" s="42"/>
      <c r="F745" s="42"/>
      <c r="G745" s="40"/>
      <c r="M745" s="53"/>
      <c r="P745" s="53"/>
      <c r="Q745" s="53"/>
      <c r="R745" s="53"/>
      <c r="S745" s="53"/>
    </row>
    <row r="746" spans="1:19">
      <c r="A746" s="1"/>
      <c r="E746" s="42"/>
      <c r="G746" s="40"/>
      <c r="M746" s="53"/>
      <c r="P746" s="53"/>
      <c r="Q746" s="53"/>
      <c r="R746" s="53"/>
      <c r="S746" s="53"/>
    </row>
    <row r="747" spans="1:19">
      <c r="A747" s="1"/>
      <c r="E747" s="42"/>
      <c r="F747" s="42"/>
      <c r="G747" s="40"/>
      <c r="M747" s="53"/>
      <c r="P747" s="53"/>
      <c r="Q747" s="53"/>
      <c r="R747" s="53"/>
      <c r="S747" s="53"/>
    </row>
    <row r="748" spans="1:19">
      <c r="A748" s="1"/>
      <c r="E748" s="42"/>
      <c r="G748" s="40"/>
      <c r="M748" s="53"/>
      <c r="P748" s="53"/>
      <c r="Q748" s="53"/>
      <c r="R748" s="53"/>
      <c r="S748" s="53"/>
    </row>
    <row r="749" spans="1:19">
      <c r="A749" s="1"/>
      <c r="E749" s="42"/>
      <c r="F749" s="42"/>
      <c r="G749" s="40"/>
      <c r="M749" s="53"/>
      <c r="P749" s="53"/>
      <c r="Q749" s="53"/>
      <c r="R749" s="53"/>
      <c r="S749" s="53"/>
    </row>
    <row r="750" spans="1:19">
      <c r="A750" s="1"/>
      <c r="E750" s="42"/>
      <c r="G750" s="40"/>
      <c r="M750" s="53"/>
      <c r="P750" s="53"/>
      <c r="Q750" s="53"/>
      <c r="R750" s="53"/>
      <c r="S750" s="53"/>
    </row>
    <row r="751" spans="1:19">
      <c r="A751" s="1"/>
      <c r="E751" s="42"/>
      <c r="F751" s="42"/>
      <c r="G751" s="40"/>
      <c r="M751" s="53"/>
      <c r="P751" s="53"/>
      <c r="Q751" s="53"/>
      <c r="R751" s="53"/>
      <c r="S751" s="53"/>
    </row>
    <row r="752" spans="1:19">
      <c r="A752" s="1"/>
      <c r="E752" s="42"/>
      <c r="G752" s="40"/>
      <c r="M752" s="53"/>
      <c r="P752" s="53"/>
      <c r="Q752" s="53"/>
      <c r="R752" s="53"/>
      <c r="S752" s="53"/>
    </row>
    <row r="753" spans="1:19">
      <c r="A753" s="1"/>
      <c r="E753" s="42"/>
      <c r="F753" s="42"/>
      <c r="G753" s="40"/>
      <c r="M753" s="53"/>
      <c r="P753" s="53"/>
      <c r="Q753" s="53"/>
      <c r="R753" s="53"/>
      <c r="S753" s="53"/>
    </row>
    <row r="754" spans="1:19">
      <c r="A754" s="1"/>
      <c r="E754" s="42"/>
      <c r="G754" s="40"/>
      <c r="M754" s="53"/>
      <c r="P754" s="53"/>
      <c r="Q754" s="53"/>
      <c r="R754" s="53"/>
      <c r="S754" s="53"/>
    </row>
    <row r="755" spans="1:19">
      <c r="A755" s="1"/>
      <c r="E755" s="42"/>
      <c r="F755" s="42"/>
      <c r="G755" s="40"/>
      <c r="M755" s="53"/>
      <c r="P755" s="53"/>
      <c r="Q755" s="53"/>
      <c r="R755" s="53"/>
      <c r="S755" s="53"/>
    </row>
    <row r="756" spans="1:19">
      <c r="A756" s="1"/>
      <c r="E756" s="42"/>
      <c r="G756" s="40"/>
      <c r="M756" s="53"/>
      <c r="P756" s="53"/>
      <c r="Q756" s="53"/>
      <c r="R756" s="53"/>
      <c r="S756" s="53"/>
    </row>
    <row r="757" spans="1:19">
      <c r="A757" s="1"/>
      <c r="E757" s="42"/>
      <c r="F757" s="42"/>
      <c r="G757" s="40"/>
      <c r="M757" s="53"/>
      <c r="P757" s="53"/>
      <c r="Q757" s="53"/>
      <c r="R757" s="53"/>
      <c r="S757" s="53"/>
    </row>
    <row r="758" spans="1:19">
      <c r="A758" s="1"/>
      <c r="E758" s="42"/>
      <c r="G758" s="40"/>
      <c r="M758" s="53"/>
      <c r="P758" s="53"/>
      <c r="Q758" s="53"/>
      <c r="R758" s="53"/>
      <c r="S758" s="53"/>
    </row>
    <row r="759" spans="1:19">
      <c r="A759" s="1"/>
      <c r="E759" s="42"/>
      <c r="F759" s="42"/>
      <c r="G759" s="40"/>
      <c r="M759" s="53"/>
      <c r="P759" s="53"/>
      <c r="Q759" s="53"/>
      <c r="R759" s="53"/>
      <c r="S759" s="53"/>
    </row>
    <row r="760" spans="1:19">
      <c r="A760" s="1"/>
      <c r="E760" s="42"/>
      <c r="G760" s="40"/>
      <c r="M760" s="53"/>
      <c r="P760" s="53"/>
      <c r="Q760" s="53"/>
      <c r="R760" s="53"/>
      <c r="S760" s="53"/>
    </row>
    <row r="761" spans="1:19">
      <c r="A761" s="1"/>
      <c r="E761" s="42"/>
      <c r="F761" s="42"/>
      <c r="G761" s="40"/>
      <c r="M761" s="53"/>
      <c r="P761" s="53"/>
      <c r="Q761" s="53"/>
      <c r="R761" s="53"/>
      <c r="S761" s="53"/>
    </row>
    <row r="762" spans="1:19">
      <c r="A762" s="1"/>
      <c r="E762" s="42"/>
      <c r="G762" s="40"/>
      <c r="M762" s="53"/>
      <c r="P762" s="53"/>
      <c r="Q762" s="53"/>
      <c r="R762" s="53"/>
      <c r="S762" s="53"/>
    </row>
    <row r="763" spans="1:19">
      <c r="A763" s="1"/>
      <c r="E763" s="42"/>
      <c r="F763" s="42"/>
      <c r="G763" s="40"/>
      <c r="M763" s="53"/>
      <c r="P763" s="53"/>
      <c r="Q763" s="53"/>
      <c r="R763" s="53"/>
      <c r="S763" s="53"/>
    </row>
    <row r="764" spans="1:19">
      <c r="A764" s="1"/>
      <c r="E764" s="42"/>
      <c r="G764" s="40"/>
      <c r="M764" s="53"/>
      <c r="P764" s="53"/>
      <c r="Q764" s="53"/>
      <c r="R764" s="53"/>
      <c r="S764" s="53"/>
    </row>
    <row r="765" spans="1:19">
      <c r="A765" s="1"/>
      <c r="E765" s="42"/>
      <c r="F765" s="42"/>
      <c r="G765" s="40"/>
      <c r="M765" s="53"/>
      <c r="P765" s="53"/>
      <c r="Q765" s="53"/>
      <c r="R765" s="53"/>
      <c r="S765" s="53"/>
    </row>
    <row r="766" spans="1:19">
      <c r="A766" s="1"/>
      <c r="E766" s="42"/>
      <c r="G766" s="40"/>
      <c r="M766" s="53"/>
      <c r="P766" s="53"/>
      <c r="Q766" s="53"/>
      <c r="R766" s="53"/>
      <c r="S766" s="53"/>
    </row>
    <row r="767" spans="1:19">
      <c r="A767" s="1"/>
      <c r="E767" s="42"/>
      <c r="F767" s="42"/>
      <c r="G767" s="40"/>
      <c r="M767" s="53"/>
      <c r="P767" s="53"/>
      <c r="Q767" s="53"/>
      <c r="R767" s="53"/>
      <c r="S767" s="53"/>
    </row>
    <row r="768" spans="1:19">
      <c r="A768" s="1"/>
      <c r="E768" s="42"/>
      <c r="G768" s="40"/>
      <c r="M768" s="53"/>
      <c r="P768" s="53"/>
      <c r="Q768" s="53"/>
      <c r="R768" s="53"/>
      <c r="S768" s="53"/>
    </row>
    <row r="769" spans="1:19">
      <c r="A769" s="1"/>
      <c r="E769" s="42"/>
      <c r="F769" s="42"/>
      <c r="G769" s="40"/>
      <c r="M769" s="53"/>
      <c r="P769" s="53"/>
      <c r="Q769" s="53"/>
      <c r="R769" s="53"/>
      <c r="S769" s="53"/>
    </row>
    <row r="770" spans="1:19">
      <c r="A770" s="1"/>
      <c r="E770" s="42"/>
      <c r="G770" s="40"/>
      <c r="M770" s="53"/>
      <c r="P770" s="53"/>
      <c r="Q770" s="53"/>
      <c r="R770" s="53"/>
      <c r="S770" s="53"/>
    </row>
    <row r="771" spans="1:19">
      <c r="A771" s="1"/>
      <c r="E771" s="42"/>
      <c r="F771" s="42"/>
      <c r="G771" s="40"/>
      <c r="M771" s="53"/>
      <c r="P771" s="53"/>
      <c r="Q771" s="53"/>
      <c r="R771" s="53"/>
      <c r="S771" s="53"/>
    </row>
    <row r="772" spans="1:19">
      <c r="A772" s="1"/>
      <c r="E772" s="42"/>
      <c r="G772" s="40"/>
      <c r="M772" s="53"/>
      <c r="P772" s="53"/>
      <c r="Q772" s="53"/>
      <c r="R772" s="53"/>
      <c r="S772" s="53"/>
    </row>
    <row r="773" spans="1:19">
      <c r="A773" s="1"/>
      <c r="E773" s="42"/>
      <c r="F773" s="42"/>
      <c r="G773" s="40"/>
      <c r="M773" s="53"/>
      <c r="P773" s="53"/>
      <c r="Q773" s="53"/>
      <c r="R773" s="53"/>
      <c r="S773" s="53"/>
    </row>
    <row r="774" spans="1:19">
      <c r="A774" s="1"/>
      <c r="E774" s="42"/>
      <c r="G774" s="40"/>
      <c r="M774" s="53"/>
      <c r="P774" s="53"/>
      <c r="Q774" s="53"/>
      <c r="R774" s="53"/>
      <c r="S774" s="53"/>
    </row>
    <row r="775" spans="1:19">
      <c r="A775" s="1"/>
      <c r="E775" s="42"/>
      <c r="F775" s="42"/>
      <c r="G775" s="40"/>
      <c r="M775" s="53"/>
      <c r="P775" s="53"/>
      <c r="Q775" s="53"/>
      <c r="R775" s="53"/>
      <c r="S775" s="53"/>
    </row>
    <row r="776" spans="1:19">
      <c r="A776" s="1"/>
      <c r="E776" s="42"/>
      <c r="G776" s="40"/>
      <c r="M776" s="53"/>
      <c r="P776" s="53"/>
      <c r="Q776" s="53"/>
      <c r="R776" s="53"/>
      <c r="S776" s="53"/>
    </row>
    <row r="777" spans="1:19">
      <c r="A777" s="1"/>
      <c r="E777" s="42"/>
      <c r="F777" s="42"/>
      <c r="G777" s="40"/>
      <c r="M777" s="53"/>
      <c r="P777" s="53"/>
      <c r="Q777" s="53"/>
      <c r="R777" s="53"/>
      <c r="S777" s="53"/>
    </row>
    <row r="778" spans="1:19">
      <c r="A778" s="1"/>
      <c r="E778" s="42"/>
      <c r="G778" s="40"/>
      <c r="M778" s="53"/>
      <c r="P778" s="53"/>
      <c r="Q778" s="53"/>
      <c r="R778" s="53"/>
      <c r="S778" s="53"/>
    </row>
    <row r="779" spans="1:19">
      <c r="A779" s="1"/>
      <c r="E779" s="42"/>
      <c r="F779" s="42"/>
      <c r="G779" s="40"/>
      <c r="M779" s="53"/>
      <c r="P779" s="53"/>
      <c r="Q779" s="53"/>
      <c r="R779" s="53"/>
      <c r="S779" s="53"/>
    </row>
    <row r="780" spans="1:19">
      <c r="A780" s="1"/>
      <c r="E780" s="42"/>
      <c r="G780" s="40"/>
      <c r="M780" s="53"/>
      <c r="P780" s="53"/>
      <c r="Q780" s="53"/>
      <c r="R780" s="53"/>
      <c r="S780" s="53"/>
    </row>
    <row r="781" spans="1:19">
      <c r="A781" s="1"/>
      <c r="E781" s="42"/>
      <c r="F781" s="42"/>
      <c r="G781" s="40"/>
      <c r="M781" s="53"/>
      <c r="P781" s="53"/>
      <c r="Q781" s="53"/>
      <c r="R781" s="53"/>
      <c r="S781" s="53"/>
    </row>
    <row r="782" spans="1:19">
      <c r="A782" s="1"/>
      <c r="E782" s="42"/>
      <c r="G782" s="40"/>
      <c r="M782" s="53"/>
      <c r="P782" s="53"/>
      <c r="Q782" s="53"/>
      <c r="R782" s="53"/>
      <c r="S782" s="53"/>
    </row>
    <row r="783" spans="1:19">
      <c r="A783" s="1"/>
      <c r="E783" s="42"/>
      <c r="F783" s="42"/>
      <c r="G783" s="40"/>
      <c r="M783" s="53"/>
      <c r="P783" s="53"/>
      <c r="Q783" s="53"/>
      <c r="R783" s="53"/>
      <c r="S783" s="53"/>
    </row>
    <row r="784" spans="1:19">
      <c r="A784" s="1"/>
      <c r="E784" s="42"/>
      <c r="G784" s="40"/>
      <c r="M784" s="53"/>
      <c r="P784" s="53"/>
      <c r="Q784" s="53"/>
      <c r="R784" s="53"/>
      <c r="S784" s="53"/>
    </row>
    <row r="785" spans="1:19">
      <c r="A785" s="1"/>
      <c r="E785" s="42"/>
      <c r="F785" s="42"/>
      <c r="G785" s="40"/>
      <c r="M785" s="53"/>
      <c r="P785" s="53"/>
      <c r="Q785" s="53"/>
      <c r="R785" s="53"/>
      <c r="S785" s="53"/>
    </row>
    <row r="786" spans="1:19">
      <c r="A786" s="1"/>
      <c r="E786" s="42"/>
      <c r="G786" s="40"/>
      <c r="M786" s="53"/>
      <c r="P786" s="53"/>
      <c r="Q786" s="53"/>
      <c r="R786" s="53"/>
      <c r="S786" s="53"/>
    </row>
    <row r="787" spans="1:19">
      <c r="A787" s="1"/>
      <c r="E787" s="42"/>
      <c r="F787" s="42"/>
      <c r="G787" s="40"/>
      <c r="M787" s="53"/>
      <c r="P787" s="53"/>
      <c r="Q787" s="53"/>
      <c r="R787" s="53"/>
      <c r="S787" s="53"/>
    </row>
    <row r="788" spans="1:19">
      <c r="A788" s="1"/>
      <c r="E788" s="42"/>
      <c r="G788" s="40"/>
      <c r="M788" s="53"/>
      <c r="P788" s="53"/>
      <c r="Q788" s="53"/>
      <c r="R788" s="53"/>
      <c r="S788" s="53"/>
    </row>
    <row r="789" spans="1:19">
      <c r="A789" s="1"/>
      <c r="E789" s="42"/>
      <c r="F789" s="42"/>
      <c r="G789" s="40"/>
      <c r="M789" s="53"/>
      <c r="P789" s="53"/>
      <c r="Q789" s="53"/>
      <c r="R789" s="53"/>
      <c r="S789" s="53"/>
    </row>
    <row r="790" spans="1:19">
      <c r="A790" s="1"/>
      <c r="E790" s="42"/>
      <c r="G790" s="40"/>
      <c r="M790" s="53"/>
      <c r="P790" s="53"/>
      <c r="Q790" s="53"/>
      <c r="R790" s="53"/>
      <c r="S790" s="53"/>
    </row>
    <row r="791" spans="1:19">
      <c r="A791" s="1"/>
      <c r="E791" s="42"/>
      <c r="F791" s="42"/>
      <c r="G791" s="40"/>
      <c r="M791" s="53"/>
      <c r="P791" s="53"/>
      <c r="Q791" s="53"/>
      <c r="R791" s="53"/>
      <c r="S791" s="53"/>
    </row>
    <row r="792" spans="1:19">
      <c r="A792" s="1"/>
      <c r="E792" s="42"/>
      <c r="G792" s="40"/>
      <c r="M792" s="53"/>
      <c r="P792" s="53"/>
      <c r="Q792" s="53"/>
      <c r="R792" s="53"/>
      <c r="S792" s="53"/>
    </row>
    <row r="793" spans="1:19">
      <c r="A793" s="1"/>
      <c r="E793" s="42"/>
      <c r="F793" s="42"/>
      <c r="G793" s="40"/>
      <c r="M793" s="53"/>
      <c r="P793" s="53"/>
      <c r="Q793" s="53"/>
      <c r="R793" s="53"/>
      <c r="S793" s="53"/>
    </row>
    <row r="794" spans="1:19">
      <c r="A794" s="1"/>
      <c r="E794" s="42"/>
      <c r="G794" s="40"/>
      <c r="M794" s="53"/>
      <c r="P794" s="53"/>
      <c r="Q794" s="53"/>
      <c r="R794" s="53"/>
      <c r="S794" s="53"/>
    </row>
    <row r="795" spans="1:19">
      <c r="A795" s="1"/>
      <c r="E795" s="42"/>
      <c r="F795" s="42"/>
      <c r="G795" s="40"/>
      <c r="M795" s="53"/>
      <c r="P795" s="53"/>
      <c r="Q795" s="53"/>
      <c r="R795" s="53"/>
      <c r="S795" s="53"/>
    </row>
    <row r="796" spans="1:19">
      <c r="A796" s="1"/>
      <c r="E796" s="42"/>
      <c r="G796" s="40"/>
      <c r="M796" s="53"/>
      <c r="P796" s="53"/>
      <c r="Q796" s="53"/>
      <c r="R796" s="53"/>
      <c r="S796" s="53"/>
    </row>
    <row r="797" spans="1:19">
      <c r="A797" s="1"/>
      <c r="E797" s="42"/>
      <c r="F797" s="42"/>
      <c r="G797" s="40"/>
      <c r="M797" s="53"/>
      <c r="P797" s="53"/>
      <c r="Q797" s="53"/>
      <c r="R797" s="53"/>
      <c r="S797" s="53"/>
    </row>
    <row r="798" spans="1:19">
      <c r="A798" s="1"/>
      <c r="E798" s="42"/>
      <c r="G798" s="40"/>
      <c r="M798" s="53"/>
      <c r="P798" s="53"/>
      <c r="Q798" s="53"/>
      <c r="R798" s="53"/>
      <c r="S798" s="53"/>
    </row>
    <row r="799" spans="1:19">
      <c r="A799" s="1"/>
      <c r="E799" s="42"/>
      <c r="F799" s="42"/>
      <c r="G799" s="40"/>
      <c r="M799" s="53"/>
      <c r="P799" s="53"/>
      <c r="Q799" s="53"/>
      <c r="R799" s="53"/>
      <c r="S799" s="53"/>
    </row>
    <row r="800" spans="1:19">
      <c r="A800" s="1"/>
      <c r="E800" s="42"/>
      <c r="G800" s="40"/>
      <c r="M800" s="53"/>
      <c r="P800" s="53"/>
      <c r="Q800" s="53"/>
      <c r="R800" s="53"/>
      <c r="S800" s="53"/>
    </row>
    <row r="801" spans="1:19">
      <c r="A801" s="1"/>
      <c r="E801" s="42"/>
      <c r="F801" s="42"/>
      <c r="G801" s="40"/>
      <c r="M801" s="53"/>
      <c r="P801" s="53"/>
      <c r="Q801" s="53"/>
      <c r="R801" s="53"/>
      <c r="S801" s="53"/>
    </row>
    <row r="802" spans="1:19">
      <c r="A802" s="1"/>
      <c r="E802" s="42"/>
      <c r="G802" s="40"/>
      <c r="M802" s="53"/>
      <c r="P802" s="53"/>
      <c r="Q802" s="53"/>
      <c r="R802" s="53"/>
      <c r="S802" s="53"/>
    </row>
    <row r="803" spans="1:19">
      <c r="A803" s="1"/>
      <c r="E803" s="42"/>
      <c r="F803" s="42"/>
      <c r="G803" s="40"/>
      <c r="M803" s="53"/>
      <c r="P803" s="53"/>
      <c r="Q803" s="53"/>
      <c r="R803" s="53"/>
      <c r="S803" s="53"/>
    </row>
    <row r="804" spans="1:19">
      <c r="A804" s="1"/>
      <c r="E804" s="42"/>
      <c r="G804" s="40"/>
      <c r="M804" s="53"/>
      <c r="P804" s="53"/>
      <c r="Q804" s="53"/>
      <c r="R804" s="53"/>
      <c r="S804" s="53"/>
    </row>
    <row r="805" spans="1:19">
      <c r="A805" s="1"/>
      <c r="E805" s="42"/>
      <c r="F805" s="42"/>
      <c r="G805" s="40"/>
      <c r="M805" s="53"/>
      <c r="P805" s="53"/>
      <c r="Q805" s="53"/>
      <c r="R805" s="53"/>
      <c r="S805" s="53"/>
    </row>
    <row r="806" spans="1:19">
      <c r="A806" s="1"/>
      <c r="E806" s="42"/>
      <c r="G806" s="40"/>
      <c r="M806" s="53"/>
      <c r="P806" s="53"/>
      <c r="Q806" s="53"/>
      <c r="R806" s="53"/>
      <c r="S806" s="53"/>
    </row>
    <row r="807" spans="1:19">
      <c r="A807" s="1"/>
      <c r="E807" s="42"/>
      <c r="F807" s="42"/>
      <c r="G807" s="40"/>
      <c r="M807" s="53"/>
      <c r="P807" s="53"/>
      <c r="Q807" s="53"/>
      <c r="R807" s="53"/>
      <c r="S807" s="53"/>
    </row>
    <row r="808" spans="1:19">
      <c r="A808" s="1"/>
      <c r="E808" s="42"/>
      <c r="G808" s="40"/>
      <c r="M808" s="53"/>
      <c r="P808" s="53"/>
      <c r="Q808" s="53"/>
      <c r="R808" s="53"/>
      <c r="S808" s="53"/>
    </row>
    <row r="809" spans="1:19">
      <c r="A809" s="1"/>
      <c r="E809" s="42"/>
      <c r="F809" s="42"/>
      <c r="G809" s="40"/>
      <c r="M809" s="53"/>
      <c r="P809" s="53"/>
      <c r="Q809" s="53"/>
      <c r="R809" s="53"/>
      <c r="S809" s="53"/>
    </row>
    <row r="810" spans="1:19">
      <c r="A810" s="1"/>
      <c r="E810" s="42"/>
      <c r="G810" s="40"/>
      <c r="M810" s="53"/>
      <c r="P810" s="53"/>
      <c r="Q810" s="53"/>
      <c r="R810" s="53"/>
      <c r="S810" s="53"/>
    </row>
    <row r="811" spans="1:19">
      <c r="A811" s="1"/>
      <c r="E811" s="42"/>
      <c r="F811" s="42"/>
      <c r="G811" s="40"/>
      <c r="M811" s="53"/>
      <c r="P811" s="53"/>
      <c r="Q811" s="53"/>
      <c r="R811" s="53"/>
      <c r="S811" s="53"/>
    </row>
    <row r="812" spans="1:19">
      <c r="A812" s="1"/>
      <c r="E812" s="42"/>
      <c r="G812" s="40"/>
      <c r="M812" s="53"/>
      <c r="P812" s="53"/>
      <c r="Q812" s="53"/>
      <c r="R812" s="53"/>
      <c r="S812" s="53"/>
    </row>
    <row r="813" spans="1:19">
      <c r="A813" s="1"/>
      <c r="E813" s="42"/>
      <c r="F813" s="42"/>
      <c r="G813" s="40"/>
      <c r="M813" s="53"/>
      <c r="P813" s="53"/>
      <c r="Q813" s="53"/>
      <c r="R813" s="53"/>
      <c r="S813" s="53"/>
    </row>
    <row r="814" spans="1:19">
      <c r="A814" s="1"/>
      <c r="E814" s="42"/>
      <c r="G814" s="40"/>
      <c r="M814" s="53"/>
      <c r="P814" s="53"/>
      <c r="Q814" s="53"/>
      <c r="R814" s="53"/>
      <c r="S814" s="53"/>
    </row>
    <row r="815" spans="1:19">
      <c r="A815" s="1"/>
      <c r="E815" s="42"/>
      <c r="F815" s="42"/>
      <c r="G815" s="40"/>
      <c r="M815" s="53"/>
      <c r="P815" s="53"/>
      <c r="Q815" s="53"/>
      <c r="R815" s="53"/>
      <c r="S815" s="53"/>
    </row>
    <row r="816" spans="1:19">
      <c r="A816" s="1"/>
      <c r="E816" s="42"/>
      <c r="G816" s="40"/>
      <c r="M816" s="53"/>
      <c r="P816" s="53"/>
      <c r="Q816" s="53"/>
      <c r="R816" s="53"/>
      <c r="S816" s="53"/>
    </row>
    <row r="817" spans="1:19">
      <c r="A817" s="1"/>
      <c r="E817" s="42"/>
      <c r="F817" s="42"/>
      <c r="G817" s="40"/>
      <c r="M817" s="53"/>
      <c r="P817" s="53"/>
      <c r="Q817" s="53"/>
      <c r="R817" s="53"/>
      <c r="S817" s="53"/>
    </row>
    <row r="818" spans="1:19">
      <c r="A818" s="1"/>
      <c r="E818" s="42"/>
      <c r="G818" s="40"/>
      <c r="M818" s="53"/>
      <c r="P818" s="53"/>
      <c r="Q818" s="53"/>
      <c r="R818" s="53"/>
      <c r="S818" s="53"/>
    </row>
    <row r="819" spans="1:19">
      <c r="A819" s="1"/>
      <c r="E819" s="42"/>
      <c r="F819" s="42"/>
      <c r="G819" s="40"/>
      <c r="M819" s="53"/>
      <c r="P819" s="53"/>
      <c r="Q819" s="53"/>
      <c r="R819" s="53"/>
      <c r="S819" s="53"/>
    </row>
    <row r="820" spans="1:19">
      <c r="A820" s="1"/>
      <c r="E820" s="42"/>
      <c r="G820" s="40"/>
      <c r="M820" s="53"/>
      <c r="P820" s="53"/>
      <c r="Q820" s="53"/>
      <c r="R820" s="53"/>
      <c r="S820" s="53"/>
    </row>
    <row r="821" spans="1:19">
      <c r="A821" s="1"/>
      <c r="E821" s="42"/>
      <c r="F821" s="42"/>
      <c r="G821" s="40"/>
      <c r="M821" s="53"/>
      <c r="P821" s="53"/>
      <c r="Q821" s="53"/>
      <c r="R821" s="53"/>
      <c r="S821" s="53"/>
    </row>
    <row r="822" spans="1:19">
      <c r="A822" s="1"/>
      <c r="E822" s="42"/>
      <c r="G822" s="40"/>
      <c r="M822" s="53"/>
      <c r="P822" s="53"/>
      <c r="Q822" s="53"/>
      <c r="R822" s="53"/>
      <c r="S822" s="53"/>
    </row>
    <row r="823" spans="1:19">
      <c r="A823" s="1"/>
      <c r="E823" s="42"/>
      <c r="F823" s="42"/>
      <c r="G823" s="40"/>
      <c r="M823" s="53"/>
      <c r="P823" s="53"/>
      <c r="Q823" s="53"/>
      <c r="R823" s="53"/>
      <c r="S823" s="53"/>
    </row>
    <row r="824" spans="1:19">
      <c r="A824" s="1"/>
      <c r="E824" s="42"/>
      <c r="G824" s="40"/>
      <c r="M824" s="53"/>
      <c r="P824" s="53"/>
      <c r="Q824" s="53"/>
      <c r="R824" s="53"/>
      <c r="S824" s="53"/>
    </row>
    <row r="825" spans="1:19">
      <c r="A825" s="1"/>
      <c r="E825" s="42"/>
      <c r="F825" s="42"/>
      <c r="G825" s="40"/>
      <c r="M825" s="53"/>
      <c r="P825" s="53"/>
      <c r="Q825" s="53"/>
      <c r="R825" s="53"/>
      <c r="S825" s="53"/>
    </row>
    <row r="826" spans="1:19">
      <c r="A826" s="1"/>
      <c r="E826" s="42"/>
      <c r="G826" s="40"/>
      <c r="M826" s="53"/>
      <c r="P826" s="53"/>
      <c r="Q826" s="53"/>
      <c r="R826" s="53"/>
      <c r="S826" s="53"/>
    </row>
    <row r="827" spans="1:19">
      <c r="A827" s="1"/>
      <c r="E827" s="42"/>
      <c r="F827" s="42"/>
      <c r="G827" s="40"/>
      <c r="M827" s="53"/>
      <c r="P827" s="53"/>
      <c r="Q827" s="53"/>
      <c r="R827" s="53"/>
      <c r="S827" s="53"/>
    </row>
    <row r="828" spans="1:19">
      <c r="A828" s="1"/>
      <c r="E828" s="42"/>
      <c r="G828" s="40"/>
      <c r="M828" s="53"/>
      <c r="P828" s="53"/>
      <c r="Q828" s="53"/>
      <c r="R828" s="53"/>
      <c r="S828" s="53"/>
    </row>
    <row r="829" spans="1:19">
      <c r="A829" s="1"/>
      <c r="E829" s="42"/>
      <c r="F829" s="42"/>
      <c r="G829" s="40"/>
      <c r="M829" s="53"/>
      <c r="P829" s="53"/>
      <c r="Q829" s="53"/>
      <c r="R829" s="53"/>
      <c r="S829" s="53"/>
    </row>
    <row r="830" spans="1:19">
      <c r="A830" s="1"/>
      <c r="E830" s="42"/>
      <c r="G830" s="40"/>
      <c r="M830" s="53"/>
      <c r="P830" s="53"/>
      <c r="Q830" s="53"/>
      <c r="R830" s="53"/>
      <c r="S830" s="53"/>
    </row>
    <row r="831" spans="1:19">
      <c r="A831" s="1"/>
      <c r="E831" s="42"/>
      <c r="F831" s="42"/>
      <c r="G831" s="40"/>
      <c r="M831" s="53"/>
      <c r="P831" s="53"/>
      <c r="Q831" s="53"/>
      <c r="R831" s="53"/>
      <c r="S831" s="53"/>
    </row>
    <row r="832" spans="1:19">
      <c r="A832" s="1"/>
      <c r="E832" s="42"/>
      <c r="G832" s="40"/>
      <c r="M832" s="53"/>
      <c r="P832" s="53"/>
      <c r="Q832" s="53"/>
      <c r="R832" s="53"/>
      <c r="S832" s="53"/>
    </row>
    <row r="833" spans="1:19">
      <c r="A833" s="1"/>
      <c r="E833" s="42"/>
      <c r="F833" s="42"/>
      <c r="G833" s="40"/>
      <c r="M833" s="53"/>
      <c r="P833" s="53"/>
      <c r="Q833" s="53"/>
      <c r="R833" s="53"/>
      <c r="S833" s="53"/>
    </row>
    <row r="834" spans="1:19">
      <c r="A834" s="1"/>
      <c r="E834" s="42"/>
      <c r="G834" s="40"/>
      <c r="M834" s="53"/>
      <c r="P834" s="53"/>
      <c r="Q834" s="53"/>
      <c r="R834" s="53"/>
      <c r="S834" s="53"/>
    </row>
    <row r="835" spans="1:19">
      <c r="A835" s="1"/>
      <c r="E835" s="42"/>
      <c r="F835" s="42"/>
      <c r="G835" s="40"/>
      <c r="M835" s="53"/>
      <c r="P835" s="53"/>
      <c r="Q835" s="53"/>
      <c r="R835" s="53"/>
      <c r="S835" s="53"/>
    </row>
    <row r="836" spans="1:19">
      <c r="A836" s="1"/>
      <c r="E836" s="42"/>
      <c r="G836" s="40"/>
      <c r="M836" s="53"/>
      <c r="P836" s="53"/>
      <c r="Q836" s="53"/>
      <c r="R836" s="53"/>
      <c r="S836" s="53"/>
    </row>
    <row r="837" spans="1:19">
      <c r="A837" s="1"/>
      <c r="E837" s="42"/>
      <c r="F837" s="42"/>
      <c r="G837" s="40"/>
      <c r="M837" s="53"/>
      <c r="P837" s="53"/>
      <c r="Q837" s="53"/>
      <c r="R837" s="53"/>
      <c r="S837" s="53"/>
    </row>
    <row r="838" spans="1:19">
      <c r="A838" s="1"/>
      <c r="E838" s="42"/>
      <c r="G838" s="40"/>
      <c r="M838" s="53"/>
      <c r="P838" s="53"/>
      <c r="Q838" s="53"/>
      <c r="R838" s="53"/>
      <c r="S838" s="53"/>
    </row>
    <row r="839" spans="1:19">
      <c r="A839" s="1"/>
      <c r="E839" s="42"/>
      <c r="F839" s="42"/>
      <c r="G839" s="40"/>
      <c r="M839" s="53"/>
      <c r="P839" s="53"/>
      <c r="Q839" s="53"/>
      <c r="R839" s="53"/>
      <c r="S839" s="53"/>
    </row>
    <row r="840" spans="1:19">
      <c r="A840" s="1"/>
      <c r="E840" s="42"/>
      <c r="G840" s="40"/>
      <c r="M840" s="53"/>
      <c r="P840" s="53"/>
      <c r="Q840" s="53"/>
      <c r="R840" s="53"/>
      <c r="S840" s="53"/>
    </row>
    <row r="841" spans="1:19">
      <c r="A841" s="1"/>
      <c r="E841" s="42"/>
      <c r="F841" s="42"/>
      <c r="G841" s="40"/>
      <c r="M841" s="53"/>
      <c r="P841" s="53"/>
      <c r="Q841" s="53"/>
      <c r="R841" s="53"/>
      <c r="S841" s="53"/>
    </row>
    <row r="842" spans="1:19">
      <c r="A842" s="1"/>
      <c r="E842" s="42"/>
      <c r="G842" s="40"/>
      <c r="M842" s="53"/>
      <c r="P842" s="53"/>
      <c r="Q842" s="53"/>
      <c r="R842" s="53"/>
      <c r="S842" s="53"/>
    </row>
    <row r="843" spans="1:19">
      <c r="A843" s="1"/>
      <c r="E843" s="42"/>
      <c r="F843" s="42"/>
      <c r="G843" s="40"/>
      <c r="M843" s="53"/>
      <c r="P843" s="53"/>
      <c r="Q843" s="53"/>
      <c r="R843" s="53"/>
      <c r="S843" s="53"/>
    </row>
    <row r="844" spans="1:19">
      <c r="A844" s="1"/>
      <c r="E844" s="42"/>
      <c r="G844" s="40"/>
      <c r="M844" s="53"/>
      <c r="P844" s="53"/>
      <c r="Q844" s="53"/>
      <c r="R844" s="53"/>
      <c r="S844" s="53"/>
    </row>
    <row r="845" spans="1:19">
      <c r="A845" s="1"/>
      <c r="E845" s="42"/>
      <c r="F845" s="42"/>
      <c r="G845" s="40"/>
      <c r="M845" s="53"/>
      <c r="P845" s="53"/>
      <c r="Q845" s="53"/>
      <c r="R845" s="53"/>
      <c r="S845" s="53"/>
    </row>
    <row r="846" spans="1:19">
      <c r="A846" s="1"/>
      <c r="E846" s="42"/>
      <c r="G846" s="40"/>
      <c r="M846" s="53"/>
      <c r="P846" s="53"/>
      <c r="Q846" s="53"/>
      <c r="R846" s="53"/>
      <c r="S846" s="53"/>
    </row>
    <row r="847" spans="1:19">
      <c r="A847" s="1"/>
      <c r="E847" s="42"/>
      <c r="F847" s="42"/>
      <c r="G847" s="40"/>
      <c r="M847" s="53"/>
      <c r="P847" s="53"/>
      <c r="Q847" s="53"/>
      <c r="R847" s="53"/>
      <c r="S847" s="53"/>
    </row>
    <row r="848" spans="1:19">
      <c r="A848" s="1"/>
      <c r="E848" s="42"/>
      <c r="G848" s="40"/>
      <c r="M848" s="53"/>
      <c r="P848" s="53"/>
      <c r="Q848" s="53"/>
      <c r="R848" s="53"/>
      <c r="S848" s="53"/>
    </row>
    <row r="849" spans="1:19">
      <c r="A849" s="1"/>
      <c r="E849" s="42"/>
      <c r="F849" s="42"/>
      <c r="G849" s="40"/>
      <c r="M849" s="53"/>
      <c r="P849" s="53"/>
      <c r="Q849" s="53"/>
      <c r="R849" s="53"/>
      <c r="S849" s="53"/>
    </row>
    <row r="850" spans="1:19">
      <c r="A850" s="1"/>
      <c r="E850" s="42"/>
      <c r="G850" s="40"/>
      <c r="M850" s="53"/>
      <c r="P850" s="53"/>
      <c r="Q850" s="53"/>
      <c r="R850" s="53"/>
      <c r="S850" s="53"/>
    </row>
    <row r="851" spans="1:19">
      <c r="A851" s="1"/>
      <c r="E851" s="42"/>
      <c r="F851" s="42"/>
      <c r="G851" s="40"/>
      <c r="M851" s="53"/>
      <c r="P851" s="53"/>
      <c r="Q851" s="53"/>
      <c r="R851" s="53"/>
      <c r="S851" s="53"/>
    </row>
    <row r="852" spans="1:19">
      <c r="A852" s="1"/>
      <c r="E852" s="42"/>
      <c r="G852" s="40"/>
      <c r="M852" s="53"/>
      <c r="P852" s="53"/>
      <c r="Q852" s="53"/>
      <c r="R852" s="53"/>
      <c r="S852" s="53"/>
    </row>
    <row r="853" spans="1:19">
      <c r="A853" s="1"/>
      <c r="E853" s="42"/>
      <c r="F853" s="42"/>
      <c r="G853" s="40"/>
      <c r="M853" s="53"/>
      <c r="P853" s="53"/>
      <c r="Q853" s="53"/>
      <c r="R853" s="53"/>
      <c r="S853" s="53"/>
    </row>
    <row r="854" spans="1:19">
      <c r="A854" s="1"/>
      <c r="E854" s="42"/>
      <c r="G854" s="40"/>
      <c r="M854" s="53"/>
      <c r="P854" s="53"/>
      <c r="Q854" s="53"/>
      <c r="R854" s="53"/>
      <c r="S854" s="53"/>
    </row>
    <row r="855" spans="1:19">
      <c r="A855" s="1"/>
      <c r="E855" s="42"/>
      <c r="F855" s="42"/>
      <c r="G855" s="40"/>
      <c r="M855" s="53"/>
      <c r="P855" s="53"/>
      <c r="Q855" s="53"/>
      <c r="R855" s="53"/>
      <c r="S855" s="53"/>
    </row>
    <row r="856" spans="1:19">
      <c r="A856" s="1"/>
      <c r="E856" s="42"/>
      <c r="G856" s="40"/>
      <c r="M856" s="53"/>
      <c r="P856" s="53"/>
      <c r="Q856" s="53"/>
      <c r="R856" s="53"/>
      <c r="S856" s="53"/>
    </row>
    <row r="857" spans="1:19">
      <c r="A857" s="1"/>
      <c r="E857" s="42"/>
      <c r="F857" s="42"/>
      <c r="G857" s="40"/>
      <c r="M857" s="53"/>
      <c r="P857" s="53"/>
      <c r="Q857" s="53"/>
      <c r="R857" s="53"/>
      <c r="S857" s="53"/>
    </row>
    <row r="858" spans="1:19">
      <c r="A858" s="1"/>
      <c r="E858" s="42"/>
      <c r="G858" s="40"/>
      <c r="M858" s="53"/>
      <c r="P858" s="53"/>
      <c r="Q858" s="53"/>
      <c r="R858" s="53"/>
      <c r="S858" s="53"/>
    </row>
    <row r="859" spans="1:19">
      <c r="A859" s="1"/>
      <c r="E859" s="42"/>
      <c r="F859" s="42"/>
      <c r="G859" s="40"/>
      <c r="M859" s="53"/>
      <c r="P859" s="53"/>
      <c r="Q859" s="53"/>
      <c r="R859" s="53"/>
      <c r="S859" s="53"/>
    </row>
    <row r="860" spans="1:19">
      <c r="A860" s="1"/>
      <c r="E860" s="42"/>
      <c r="G860" s="40"/>
      <c r="M860" s="53"/>
      <c r="P860" s="53"/>
      <c r="Q860" s="53"/>
      <c r="R860" s="53"/>
      <c r="S860" s="53"/>
    </row>
    <row r="861" spans="1:19">
      <c r="A861" s="1"/>
      <c r="E861" s="42"/>
      <c r="F861" s="42"/>
      <c r="G861" s="40"/>
      <c r="M861" s="53"/>
      <c r="P861" s="53"/>
      <c r="Q861" s="53"/>
      <c r="R861" s="53"/>
      <c r="S861" s="53"/>
    </row>
    <row r="862" spans="1:19">
      <c r="A862" s="1"/>
      <c r="E862" s="42"/>
      <c r="G862" s="40"/>
      <c r="M862" s="53"/>
      <c r="P862" s="53"/>
      <c r="Q862" s="53"/>
      <c r="R862" s="53"/>
      <c r="S862" s="53"/>
    </row>
    <row r="863" spans="1:19">
      <c r="A863" s="1"/>
      <c r="E863" s="42"/>
      <c r="F863" s="42"/>
      <c r="G863" s="40"/>
      <c r="M863" s="53"/>
      <c r="P863" s="53"/>
      <c r="Q863" s="53"/>
      <c r="R863" s="53"/>
      <c r="S863" s="53"/>
    </row>
    <row r="864" spans="1:19">
      <c r="A864" s="1"/>
      <c r="E864" s="42"/>
      <c r="G864" s="40"/>
      <c r="M864" s="53"/>
      <c r="P864" s="53"/>
      <c r="Q864" s="53"/>
      <c r="R864" s="53"/>
      <c r="S864" s="53"/>
    </row>
    <row r="865" spans="1:19">
      <c r="A865" s="1"/>
      <c r="E865" s="42"/>
      <c r="F865" s="42"/>
      <c r="G865" s="40"/>
      <c r="M865" s="53"/>
      <c r="P865" s="53"/>
      <c r="Q865" s="53"/>
      <c r="R865" s="53"/>
      <c r="S865" s="53"/>
    </row>
    <row r="866" spans="1:19">
      <c r="A866" s="1"/>
      <c r="E866" s="42"/>
      <c r="G866" s="40"/>
      <c r="M866" s="53"/>
      <c r="P866" s="53"/>
      <c r="Q866" s="53"/>
      <c r="R866" s="53"/>
      <c r="S866" s="53"/>
    </row>
    <row r="867" spans="1:19">
      <c r="A867" s="1"/>
      <c r="E867" s="42"/>
      <c r="F867" s="42"/>
      <c r="G867" s="40"/>
      <c r="M867" s="53"/>
      <c r="P867" s="53"/>
      <c r="Q867" s="53"/>
      <c r="R867" s="53"/>
      <c r="S867" s="53"/>
    </row>
    <row r="868" spans="1:19">
      <c r="A868" s="1"/>
      <c r="E868" s="42"/>
      <c r="G868" s="40"/>
      <c r="M868" s="53"/>
      <c r="P868" s="53"/>
      <c r="Q868" s="53"/>
      <c r="R868" s="53"/>
      <c r="S868" s="53"/>
    </row>
    <row r="869" spans="1:19">
      <c r="A869" s="1"/>
      <c r="E869" s="42"/>
      <c r="F869" s="42"/>
      <c r="G869" s="40"/>
      <c r="M869" s="53"/>
      <c r="P869" s="53"/>
      <c r="Q869" s="53"/>
      <c r="R869" s="53"/>
      <c r="S869" s="53"/>
    </row>
    <row r="870" spans="1:19">
      <c r="A870" s="1"/>
      <c r="E870" s="42"/>
      <c r="G870" s="40"/>
      <c r="M870" s="53"/>
      <c r="P870" s="53"/>
      <c r="Q870" s="53"/>
      <c r="R870" s="53"/>
      <c r="S870" s="53"/>
    </row>
    <row r="871" spans="1:19">
      <c r="A871" s="1"/>
      <c r="E871" s="42"/>
      <c r="F871" s="42"/>
      <c r="G871" s="40"/>
      <c r="M871" s="53"/>
      <c r="P871" s="53"/>
      <c r="Q871" s="53"/>
      <c r="R871" s="53"/>
      <c r="S871" s="53"/>
    </row>
    <row r="872" spans="1:19">
      <c r="A872" s="1"/>
      <c r="E872" s="42"/>
      <c r="G872" s="40"/>
      <c r="M872" s="53"/>
      <c r="P872" s="53"/>
      <c r="Q872" s="53"/>
      <c r="R872" s="53"/>
      <c r="S872" s="53"/>
    </row>
    <row r="873" spans="1:19">
      <c r="A873" s="1"/>
      <c r="E873" s="42"/>
      <c r="F873" s="42"/>
      <c r="G873" s="40"/>
      <c r="M873" s="53"/>
      <c r="P873" s="53"/>
      <c r="Q873" s="53"/>
      <c r="R873" s="53"/>
      <c r="S873" s="53"/>
    </row>
    <row r="874" spans="1:19">
      <c r="A874" s="1"/>
      <c r="E874" s="42"/>
      <c r="G874" s="40"/>
      <c r="M874" s="53"/>
      <c r="P874" s="53"/>
      <c r="Q874" s="53"/>
      <c r="R874" s="53"/>
      <c r="S874" s="53"/>
    </row>
    <row r="875" spans="1:19">
      <c r="A875" s="1"/>
      <c r="E875" s="42"/>
      <c r="F875" s="42"/>
      <c r="G875" s="40"/>
      <c r="M875" s="53"/>
      <c r="P875" s="53"/>
      <c r="Q875" s="53"/>
      <c r="R875" s="53"/>
      <c r="S875" s="53"/>
    </row>
    <row r="876" spans="1:19">
      <c r="A876" s="1"/>
      <c r="E876" s="42"/>
      <c r="G876" s="40"/>
      <c r="M876" s="53"/>
      <c r="P876" s="53"/>
      <c r="Q876" s="53"/>
      <c r="R876" s="53"/>
      <c r="S876" s="53"/>
    </row>
    <row r="877" spans="1:19">
      <c r="A877" s="1"/>
      <c r="E877" s="42"/>
      <c r="F877" s="42"/>
      <c r="G877" s="40"/>
      <c r="M877" s="53"/>
      <c r="P877" s="53"/>
      <c r="Q877" s="53"/>
      <c r="R877" s="53"/>
      <c r="S877" s="53"/>
    </row>
    <row r="878" spans="1:19">
      <c r="A878" s="1"/>
      <c r="E878" s="42"/>
      <c r="G878" s="40"/>
      <c r="M878" s="53"/>
      <c r="P878" s="53"/>
      <c r="Q878" s="53"/>
      <c r="R878" s="53"/>
      <c r="S878" s="53"/>
    </row>
    <row r="879" spans="1:19">
      <c r="A879" s="1"/>
      <c r="E879" s="42"/>
      <c r="F879" s="42"/>
      <c r="G879" s="40"/>
      <c r="M879" s="53"/>
      <c r="P879" s="53"/>
      <c r="Q879" s="53"/>
      <c r="R879" s="53"/>
      <c r="S879" s="53"/>
    </row>
    <row r="880" spans="1:19">
      <c r="A880" s="1"/>
      <c r="E880" s="42"/>
      <c r="G880" s="40"/>
      <c r="M880" s="53"/>
      <c r="P880" s="53"/>
      <c r="Q880" s="53"/>
      <c r="R880" s="53"/>
      <c r="S880" s="53"/>
    </row>
    <row r="881" spans="1:19">
      <c r="A881" s="1"/>
      <c r="E881" s="42"/>
      <c r="F881" s="42"/>
      <c r="G881" s="40"/>
      <c r="M881" s="53"/>
      <c r="P881" s="53"/>
      <c r="Q881" s="53"/>
      <c r="R881" s="53"/>
      <c r="S881" s="53"/>
    </row>
    <row r="882" spans="1:19">
      <c r="A882" s="1"/>
      <c r="E882" s="42"/>
      <c r="G882" s="40"/>
      <c r="M882" s="53"/>
      <c r="P882" s="53"/>
      <c r="Q882" s="53"/>
      <c r="R882" s="53"/>
      <c r="S882" s="53"/>
    </row>
    <row r="883" spans="1:19">
      <c r="A883" s="1"/>
      <c r="E883" s="42"/>
      <c r="F883" s="42"/>
      <c r="G883" s="40"/>
      <c r="M883" s="53"/>
      <c r="P883" s="53"/>
      <c r="Q883" s="53"/>
      <c r="R883" s="53"/>
      <c r="S883" s="53"/>
    </row>
    <row r="884" spans="1:19">
      <c r="A884" s="1"/>
      <c r="E884" s="42"/>
      <c r="G884" s="40"/>
      <c r="M884" s="53"/>
      <c r="P884" s="53"/>
      <c r="Q884" s="53"/>
      <c r="R884" s="53"/>
      <c r="S884" s="53"/>
    </row>
    <row r="885" spans="1:19">
      <c r="A885" s="1"/>
      <c r="E885" s="42"/>
      <c r="F885" s="42"/>
      <c r="G885" s="40"/>
      <c r="M885" s="53"/>
      <c r="P885" s="53"/>
      <c r="Q885" s="53"/>
      <c r="R885" s="53"/>
      <c r="S885" s="53"/>
    </row>
    <row r="886" spans="1:19">
      <c r="A886" s="1"/>
      <c r="E886" s="42"/>
      <c r="G886" s="40"/>
      <c r="M886" s="53"/>
      <c r="P886" s="53"/>
      <c r="Q886" s="53"/>
      <c r="R886" s="53"/>
      <c r="S886" s="53"/>
    </row>
    <row r="887" spans="1:19">
      <c r="A887" s="1"/>
      <c r="E887" s="42"/>
      <c r="F887" s="42"/>
      <c r="G887" s="40"/>
      <c r="M887" s="53"/>
      <c r="P887" s="53"/>
      <c r="Q887" s="53"/>
      <c r="R887" s="53"/>
      <c r="S887" s="53"/>
    </row>
    <row r="888" spans="1:19">
      <c r="A888" s="1"/>
      <c r="E888" s="42"/>
      <c r="G888" s="40"/>
      <c r="M888" s="53"/>
      <c r="P888" s="53"/>
      <c r="Q888" s="53"/>
      <c r="R888" s="53"/>
      <c r="S888" s="53"/>
    </row>
    <row r="889" spans="1:19">
      <c r="A889" s="1"/>
      <c r="E889" s="42"/>
      <c r="F889" s="42"/>
      <c r="G889" s="40"/>
      <c r="M889" s="53"/>
      <c r="P889" s="53"/>
      <c r="Q889" s="53"/>
      <c r="R889" s="53"/>
      <c r="S889" s="53"/>
    </row>
    <row r="890" spans="1:19">
      <c r="A890" s="1"/>
      <c r="E890" s="42"/>
      <c r="G890" s="40"/>
      <c r="M890" s="53"/>
      <c r="P890" s="53"/>
      <c r="Q890" s="53"/>
      <c r="R890" s="53"/>
      <c r="S890" s="53"/>
    </row>
    <row r="891" spans="1:19">
      <c r="A891" s="1"/>
      <c r="E891" s="42"/>
      <c r="F891" s="42"/>
      <c r="G891" s="40"/>
      <c r="M891" s="53"/>
      <c r="P891" s="53"/>
      <c r="Q891" s="53"/>
      <c r="R891" s="53"/>
      <c r="S891" s="53"/>
    </row>
    <row r="892" spans="1:19">
      <c r="A892" s="1"/>
      <c r="E892" s="42"/>
      <c r="G892" s="40"/>
      <c r="M892" s="53"/>
      <c r="P892" s="53"/>
      <c r="Q892" s="53"/>
      <c r="R892" s="53"/>
      <c r="S892" s="53"/>
    </row>
    <row r="893" spans="1:19">
      <c r="A893" s="1"/>
      <c r="E893" s="42"/>
      <c r="F893" s="42"/>
      <c r="G893" s="40"/>
      <c r="M893" s="53"/>
      <c r="P893" s="53"/>
      <c r="Q893" s="53"/>
      <c r="R893" s="53"/>
      <c r="S893" s="53"/>
    </row>
    <row r="894" spans="1:19">
      <c r="A894" s="1"/>
      <c r="E894" s="42"/>
      <c r="G894" s="40"/>
      <c r="M894" s="53"/>
      <c r="P894" s="53"/>
      <c r="Q894" s="53"/>
      <c r="R894" s="53"/>
      <c r="S894" s="53"/>
    </row>
    <row r="895" spans="1:19">
      <c r="A895" s="1"/>
      <c r="E895" s="42"/>
      <c r="F895" s="42"/>
      <c r="G895" s="40"/>
      <c r="M895" s="53"/>
      <c r="P895" s="53"/>
      <c r="Q895" s="53"/>
      <c r="R895" s="53"/>
      <c r="S895" s="53"/>
    </row>
    <row r="896" spans="1:19">
      <c r="A896" s="1"/>
      <c r="E896" s="42"/>
      <c r="G896" s="40"/>
      <c r="M896" s="53"/>
      <c r="P896" s="53"/>
      <c r="Q896" s="53"/>
      <c r="R896" s="53"/>
      <c r="S896" s="53"/>
    </row>
    <row r="897" spans="1:19">
      <c r="A897" s="1"/>
      <c r="E897" s="42"/>
      <c r="F897" s="42"/>
      <c r="G897" s="40"/>
      <c r="M897" s="53"/>
      <c r="P897" s="53"/>
      <c r="Q897" s="53"/>
      <c r="R897" s="53"/>
      <c r="S897" s="53"/>
    </row>
    <row r="898" spans="1:19">
      <c r="A898" s="1"/>
      <c r="E898" s="42"/>
      <c r="G898" s="40"/>
      <c r="M898" s="53"/>
      <c r="P898" s="53"/>
      <c r="Q898" s="53"/>
      <c r="R898" s="53"/>
      <c r="S898" s="53"/>
    </row>
    <row r="899" spans="1:19">
      <c r="A899" s="1"/>
      <c r="E899" s="42"/>
      <c r="F899" s="42"/>
      <c r="G899" s="40"/>
      <c r="M899" s="53"/>
      <c r="P899" s="53"/>
      <c r="Q899" s="53"/>
      <c r="R899" s="53"/>
      <c r="S899" s="53"/>
    </row>
    <row r="900" spans="1:19">
      <c r="A900" s="1"/>
      <c r="E900" s="42"/>
      <c r="G900" s="40"/>
      <c r="M900" s="53"/>
      <c r="P900" s="53"/>
      <c r="Q900" s="53"/>
      <c r="R900" s="53"/>
      <c r="S900" s="53"/>
    </row>
    <row r="901" spans="1:19">
      <c r="A901" s="1"/>
      <c r="E901" s="42"/>
      <c r="F901" s="42"/>
      <c r="G901" s="40"/>
      <c r="M901" s="53"/>
      <c r="P901" s="53"/>
      <c r="Q901" s="53"/>
      <c r="R901" s="53"/>
      <c r="S901" s="53"/>
    </row>
    <row r="902" spans="1:19">
      <c r="A902" s="1"/>
      <c r="E902" s="42"/>
      <c r="G902" s="40"/>
      <c r="M902" s="53"/>
      <c r="P902" s="53"/>
      <c r="Q902" s="53"/>
      <c r="R902" s="53"/>
      <c r="S902" s="53"/>
    </row>
    <row r="903" spans="1:19">
      <c r="A903" s="1"/>
      <c r="E903" s="42"/>
      <c r="F903" s="42"/>
      <c r="G903" s="40"/>
      <c r="M903" s="53"/>
      <c r="P903" s="53"/>
      <c r="Q903" s="53"/>
      <c r="R903" s="53"/>
      <c r="S903" s="53"/>
    </row>
    <row r="904" spans="1:19">
      <c r="A904" s="1"/>
      <c r="E904" s="42"/>
      <c r="G904" s="40"/>
      <c r="M904" s="53"/>
      <c r="P904" s="53"/>
      <c r="Q904" s="53"/>
      <c r="R904" s="53"/>
      <c r="S904" s="53"/>
    </row>
    <row r="905" spans="1:19">
      <c r="A905" s="1"/>
      <c r="E905" s="42"/>
      <c r="F905" s="42"/>
      <c r="G905" s="40"/>
      <c r="M905" s="53"/>
      <c r="P905" s="53"/>
      <c r="Q905" s="53"/>
      <c r="R905" s="53"/>
      <c r="S905" s="53"/>
    </row>
    <row r="906" spans="1:19">
      <c r="A906" s="1"/>
      <c r="E906" s="42"/>
      <c r="G906" s="40"/>
      <c r="M906" s="53"/>
      <c r="P906" s="53"/>
      <c r="Q906" s="53"/>
      <c r="R906" s="53"/>
      <c r="S906" s="53"/>
    </row>
    <row r="907" spans="1:19">
      <c r="A907" s="1"/>
      <c r="E907" s="42"/>
      <c r="F907" s="42"/>
      <c r="G907" s="40"/>
      <c r="M907" s="53"/>
      <c r="P907" s="53"/>
      <c r="Q907" s="53"/>
      <c r="R907" s="53"/>
      <c r="S907" s="53"/>
    </row>
    <row r="908" spans="1:19">
      <c r="A908" s="1"/>
      <c r="E908" s="42"/>
      <c r="G908" s="40"/>
      <c r="M908" s="53"/>
      <c r="P908" s="53"/>
      <c r="Q908" s="53"/>
      <c r="R908" s="53"/>
      <c r="S908" s="53"/>
    </row>
    <row r="909" spans="1:19">
      <c r="A909" s="1"/>
      <c r="E909" s="42"/>
      <c r="F909" s="42"/>
      <c r="G909" s="40"/>
      <c r="M909" s="53"/>
      <c r="P909" s="53"/>
      <c r="Q909" s="53"/>
      <c r="R909" s="53"/>
      <c r="S909" s="53"/>
    </row>
    <row r="910" spans="1:19">
      <c r="A910" s="1"/>
      <c r="E910" s="42"/>
      <c r="G910" s="40"/>
      <c r="M910" s="53"/>
      <c r="P910" s="53"/>
      <c r="Q910" s="53"/>
      <c r="R910" s="53"/>
      <c r="S910" s="53"/>
    </row>
    <row r="911" spans="1:19">
      <c r="A911" s="1"/>
      <c r="E911" s="42"/>
      <c r="F911" s="42"/>
      <c r="G911" s="40"/>
      <c r="M911" s="53"/>
      <c r="P911" s="53"/>
      <c r="Q911" s="53"/>
      <c r="R911" s="53"/>
      <c r="S911" s="53"/>
    </row>
    <row r="912" spans="1:19">
      <c r="A912" s="1"/>
      <c r="E912" s="42"/>
      <c r="G912" s="40"/>
      <c r="M912" s="53"/>
      <c r="P912" s="53"/>
      <c r="Q912" s="53"/>
      <c r="R912" s="53"/>
      <c r="S912" s="53"/>
    </row>
    <row r="913" spans="1:19">
      <c r="A913" s="1"/>
      <c r="E913" s="42"/>
      <c r="F913" s="42"/>
      <c r="G913" s="40"/>
      <c r="M913" s="53"/>
      <c r="P913" s="53"/>
      <c r="Q913" s="53"/>
      <c r="R913" s="53"/>
      <c r="S913" s="53"/>
    </row>
    <row r="914" spans="1:19">
      <c r="A914" s="1"/>
      <c r="E914" s="42"/>
      <c r="G914" s="40"/>
      <c r="M914" s="53"/>
      <c r="P914" s="53"/>
      <c r="Q914" s="53"/>
      <c r="R914" s="53"/>
      <c r="S914" s="53"/>
    </row>
    <row r="915" spans="1:19">
      <c r="A915" s="1"/>
      <c r="E915" s="42"/>
      <c r="F915" s="42"/>
      <c r="G915" s="40"/>
      <c r="M915" s="53"/>
      <c r="P915" s="53"/>
      <c r="Q915" s="53"/>
      <c r="R915" s="53"/>
      <c r="S915" s="53"/>
    </row>
    <row r="916" spans="1:19">
      <c r="A916" s="1"/>
      <c r="E916" s="42"/>
      <c r="G916" s="40"/>
      <c r="M916" s="53"/>
      <c r="P916" s="53"/>
      <c r="Q916" s="53"/>
      <c r="R916" s="53"/>
      <c r="S916" s="53"/>
    </row>
    <row r="917" spans="1:19">
      <c r="A917" s="1"/>
      <c r="E917" s="42"/>
      <c r="F917" s="42"/>
      <c r="G917" s="40"/>
      <c r="M917" s="53"/>
      <c r="P917" s="53"/>
      <c r="Q917" s="53"/>
      <c r="R917" s="53"/>
      <c r="S917" s="53"/>
    </row>
    <row r="918" spans="1:19">
      <c r="A918" s="1"/>
      <c r="E918" s="42"/>
      <c r="G918" s="40"/>
      <c r="M918" s="53"/>
      <c r="P918" s="53"/>
      <c r="Q918" s="53"/>
      <c r="R918" s="53"/>
      <c r="S918" s="53"/>
    </row>
    <row r="919" spans="1:19">
      <c r="A919" s="1"/>
      <c r="E919" s="42"/>
      <c r="F919" s="42"/>
      <c r="G919" s="40"/>
      <c r="M919" s="53"/>
      <c r="P919" s="53"/>
      <c r="Q919" s="53"/>
      <c r="R919" s="53"/>
      <c r="S919" s="53"/>
    </row>
    <row r="920" spans="1:19">
      <c r="A920" s="1"/>
      <c r="E920" s="42"/>
      <c r="G920" s="40"/>
      <c r="M920" s="53"/>
      <c r="P920" s="53"/>
      <c r="Q920" s="53"/>
      <c r="R920" s="53"/>
      <c r="S920" s="53"/>
    </row>
    <row r="921" spans="1:19">
      <c r="A921" s="1"/>
      <c r="E921" s="42"/>
      <c r="F921" s="42"/>
      <c r="G921" s="40"/>
      <c r="M921" s="53"/>
      <c r="P921" s="53"/>
      <c r="Q921" s="53"/>
      <c r="R921" s="53"/>
      <c r="S921" s="53"/>
    </row>
    <row r="922" spans="1:19">
      <c r="A922" s="1"/>
      <c r="E922" s="42"/>
      <c r="G922" s="40"/>
      <c r="M922" s="53"/>
      <c r="P922" s="53"/>
      <c r="Q922" s="53"/>
      <c r="R922" s="53"/>
      <c r="S922" s="53"/>
    </row>
    <row r="923" spans="1:19">
      <c r="A923" s="1"/>
      <c r="E923" s="42"/>
      <c r="F923" s="42"/>
      <c r="G923" s="40"/>
      <c r="M923" s="53"/>
      <c r="P923" s="53"/>
      <c r="Q923" s="53"/>
      <c r="R923" s="53"/>
      <c r="S923" s="53"/>
    </row>
    <row r="924" spans="1:19">
      <c r="A924" s="1"/>
      <c r="E924" s="42"/>
      <c r="G924" s="40"/>
      <c r="M924" s="53"/>
      <c r="P924" s="53"/>
      <c r="Q924" s="53"/>
      <c r="R924" s="53"/>
      <c r="S924" s="53"/>
    </row>
    <row r="925" spans="1:19">
      <c r="A925" s="1"/>
      <c r="E925" s="42"/>
      <c r="F925" s="42"/>
      <c r="G925" s="40"/>
      <c r="M925" s="53"/>
      <c r="P925" s="53"/>
      <c r="Q925" s="53"/>
      <c r="R925" s="53"/>
      <c r="S925" s="53"/>
    </row>
    <row r="926" spans="1:19">
      <c r="A926" s="1"/>
      <c r="E926" s="42"/>
      <c r="G926" s="40"/>
      <c r="M926" s="53"/>
      <c r="P926" s="53"/>
      <c r="Q926" s="53"/>
      <c r="R926" s="53"/>
      <c r="S926" s="53"/>
    </row>
    <row r="927" spans="1:19">
      <c r="A927" s="1"/>
      <c r="E927" s="42"/>
      <c r="F927" s="42"/>
      <c r="G927" s="40"/>
      <c r="M927" s="53"/>
      <c r="P927" s="53"/>
      <c r="Q927" s="53"/>
      <c r="R927" s="53"/>
      <c r="S927" s="53"/>
    </row>
    <row r="928" spans="1:19">
      <c r="A928" s="1"/>
      <c r="E928" s="42"/>
      <c r="G928" s="40"/>
      <c r="M928" s="53"/>
      <c r="P928" s="53"/>
      <c r="Q928" s="53"/>
      <c r="R928" s="53"/>
      <c r="S928" s="53"/>
    </row>
    <row r="929" spans="1:19">
      <c r="A929" s="1"/>
      <c r="E929" s="42"/>
      <c r="F929" s="42"/>
      <c r="G929" s="40"/>
      <c r="M929" s="53"/>
      <c r="P929" s="53"/>
      <c r="Q929" s="53"/>
      <c r="R929" s="53"/>
      <c r="S929" s="53"/>
    </row>
    <row r="930" spans="1:19">
      <c r="A930" s="1"/>
      <c r="E930" s="42"/>
      <c r="G930" s="40"/>
      <c r="M930" s="53"/>
      <c r="P930" s="53"/>
      <c r="Q930" s="53"/>
      <c r="R930" s="53"/>
      <c r="S930" s="53"/>
    </row>
    <row r="931" spans="1:19">
      <c r="A931" s="1"/>
      <c r="E931" s="42"/>
      <c r="F931" s="42"/>
      <c r="G931" s="40"/>
      <c r="M931" s="53"/>
      <c r="P931" s="53"/>
      <c r="Q931" s="53"/>
      <c r="R931" s="53"/>
      <c r="S931" s="53"/>
    </row>
    <row r="932" spans="1:19">
      <c r="A932" s="1"/>
      <c r="E932" s="42"/>
      <c r="G932" s="40"/>
      <c r="M932" s="53"/>
      <c r="P932" s="53"/>
      <c r="Q932" s="53"/>
      <c r="R932" s="53"/>
      <c r="S932" s="53"/>
    </row>
    <row r="933" spans="1:19">
      <c r="A933" s="1"/>
      <c r="E933" s="42"/>
      <c r="F933" s="42"/>
      <c r="G933" s="40"/>
      <c r="M933" s="53"/>
      <c r="P933" s="53"/>
      <c r="Q933" s="53"/>
      <c r="R933" s="53"/>
      <c r="S933" s="53"/>
    </row>
    <row r="934" spans="1:19">
      <c r="A934" s="1"/>
      <c r="E934" s="42"/>
      <c r="G934" s="40"/>
      <c r="M934" s="53"/>
      <c r="P934" s="53"/>
      <c r="Q934" s="53"/>
      <c r="R934" s="53"/>
      <c r="S934" s="53"/>
    </row>
    <row r="935" spans="1:19">
      <c r="A935" s="1"/>
      <c r="E935" s="42"/>
      <c r="F935" s="42"/>
      <c r="G935" s="40"/>
      <c r="M935" s="53"/>
      <c r="P935" s="53"/>
      <c r="Q935" s="53"/>
      <c r="R935" s="53"/>
      <c r="S935" s="53"/>
    </row>
    <row r="936" spans="1:19">
      <c r="A936" s="1"/>
      <c r="E936" s="42"/>
      <c r="G936" s="40"/>
      <c r="M936" s="53"/>
      <c r="P936" s="53"/>
      <c r="Q936" s="53"/>
      <c r="R936" s="53"/>
      <c r="S936" s="53"/>
    </row>
    <row r="937" spans="1:19">
      <c r="A937" s="1"/>
      <c r="E937" s="42"/>
      <c r="F937" s="42"/>
      <c r="G937" s="40"/>
      <c r="M937" s="53"/>
      <c r="P937" s="53"/>
      <c r="Q937" s="53"/>
      <c r="R937" s="53"/>
      <c r="S937" s="53"/>
    </row>
    <row r="938" spans="1:19">
      <c r="A938" s="1"/>
      <c r="E938" s="42"/>
      <c r="G938" s="40"/>
      <c r="M938" s="53"/>
      <c r="P938" s="53"/>
      <c r="Q938" s="53"/>
      <c r="R938" s="53"/>
      <c r="S938" s="53"/>
    </row>
    <row r="939" spans="1:19">
      <c r="A939" s="1"/>
      <c r="E939" s="42"/>
      <c r="F939" s="42"/>
      <c r="G939" s="40"/>
      <c r="M939" s="53"/>
      <c r="P939" s="53"/>
      <c r="Q939" s="53"/>
      <c r="R939" s="53"/>
      <c r="S939" s="53"/>
    </row>
    <row r="940" spans="1:19">
      <c r="A940" s="1"/>
      <c r="E940" s="42"/>
      <c r="G940" s="40"/>
      <c r="M940" s="53"/>
      <c r="P940" s="53"/>
      <c r="Q940" s="53"/>
      <c r="R940" s="53"/>
      <c r="S940" s="53"/>
    </row>
    <row r="941" spans="1:19">
      <c r="A941" s="1"/>
      <c r="E941" s="42"/>
      <c r="F941" s="42"/>
      <c r="G941" s="40"/>
      <c r="M941" s="53"/>
      <c r="P941" s="53"/>
      <c r="Q941" s="53"/>
      <c r="R941" s="53"/>
      <c r="S941" s="53"/>
    </row>
    <row r="942" spans="1:19">
      <c r="A942" s="1"/>
      <c r="E942" s="42"/>
      <c r="G942" s="40"/>
      <c r="M942" s="53"/>
      <c r="P942" s="53"/>
      <c r="Q942" s="53"/>
      <c r="R942" s="53"/>
      <c r="S942" s="53"/>
    </row>
    <row r="943" spans="1:19">
      <c r="A943" s="1"/>
      <c r="E943" s="42"/>
      <c r="F943" s="42"/>
      <c r="G943" s="40"/>
      <c r="M943" s="53"/>
      <c r="P943" s="53"/>
      <c r="Q943" s="53"/>
      <c r="R943" s="53"/>
      <c r="S943" s="53"/>
    </row>
    <row r="944" spans="1:19">
      <c r="A944" s="1"/>
      <c r="E944" s="42"/>
      <c r="G944" s="40"/>
      <c r="M944" s="53"/>
      <c r="P944" s="53"/>
      <c r="Q944" s="53"/>
      <c r="R944" s="53"/>
      <c r="S944" s="53"/>
    </row>
    <row r="945" spans="1:19">
      <c r="A945" s="1"/>
      <c r="E945" s="42"/>
      <c r="F945" s="42"/>
      <c r="G945" s="40"/>
      <c r="M945" s="53"/>
      <c r="P945" s="53"/>
      <c r="Q945" s="53"/>
      <c r="R945" s="53"/>
      <c r="S945" s="53"/>
    </row>
    <row r="946" spans="1:19">
      <c r="A946" s="1"/>
      <c r="E946" s="42"/>
      <c r="G946" s="40"/>
      <c r="M946" s="53"/>
      <c r="P946" s="53"/>
      <c r="Q946" s="53"/>
      <c r="R946" s="53"/>
      <c r="S946" s="53"/>
    </row>
    <row r="947" spans="1:19">
      <c r="A947" s="1"/>
      <c r="E947" s="42"/>
      <c r="F947" s="42"/>
      <c r="G947" s="40"/>
      <c r="M947" s="53"/>
      <c r="P947" s="53"/>
      <c r="Q947" s="53"/>
      <c r="R947" s="53"/>
      <c r="S947" s="53"/>
    </row>
    <row r="948" spans="1:19">
      <c r="A948" s="1"/>
      <c r="E948" s="42"/>
      <c r="G948" s="40"/>
      <c r="M948" s="53"/>
      <c r="P948" s="53"/>
      <c r="Q948" s="53"/>
      <c r="R948" s="53"/>
      <c r="S948" s="53"/>
    </row>
    <row r="949" spans="1:19">
      <c r="A949" s="1"/>
      <c r="E949" s="42"/>
      <c r="F949" s="42"/>
      <c r="G949" s="40"/>
      <c r="M949" s="53"/>
      <c r="P949" s="53"/>
      <c r="Q949" s="53"/>
      <c r="R949" s="53"/>
      <c r="S949" s="53"/>
    </row>
    <row r="950" spans="1:19">
      <c r="A950" s="1"/>
      <c r="E950" s="42"/>
      <c r="G950" s="40"/>
      <c r="M950" s="53"/>
      <c r="P950" s="53"/>
      <c r="Q950" s="53"/>
      <c r="R950" s="53"/>
      <c r="S950" s="53"/>
    </row>
    <row r="951" spans="1:19">
      <c r="A951" s="1"/>
      <c r="E951" s="42"/>
      <c r="F951" s="42"/>
      <c r="G951" s="40"/>
      <c r="M951" s="53"/>
      <c r="P951" s="53"/>
      <c r="Q951" s="53"/>
      <c r="R951" s="53"/>
      <c r="S951" s="53"/>
    </row>
    <row r="952" spans="1:19">
      <c r="A952" s="1"/>
      <c r="E952" s="42"/>
      <c r="G952" s="40"/>
      <c r="M952" s="53"/>
      <c r="P952" s="53"/>
      <c r="Q952" s="53"/>
      <c r="R952" s="53"/>
      <c r="S952" s="53"/>
    </row>
    <row r="953" spans="1:19">
      <c r="A953" s="1"/>
      <c r="E953" s="42"/>
      <c r="F953" s="42"/>
      <c r="G953" s="40"/>
      <c r="M953" s="53"/>
      <c r="P953" s="53"/>
      <c r="Q953" s="53"/>
      <c r="R953" s="53"/>
      <c r="S953" s="53"/>
    </row>
    <row r="954" spans="1:19">
      <c r="A954" s="1"/>
      <c r="E954" s="42"/>
      <c r="G954" s="40"/>
      <c r="M954" s="53"/>
      <c r="P954" s="53"/>
      <c r="Q954" s="53"/>
      <c r="R954" s="53"/>
      <c r="S954" s="53"/>
    </row>
    <row r="955" spans="1:19">
      <c r="A955" s="1"/>
      <c r="E955" s="42"/>
      <c r="F955" s="42"/>
      <c r="G955" s="40"/>
      <c r="M955" s="53"/>
      <c r="P955" s="53"/>
      <c r="Q955" s="53"/>
      <c r="R955" s="53"/>
      <c r="S955" s="53"/>
    </row>
    <row r="956" spans="1:19">
      <c r="A956" s="1"/>
      <c r="E956" s="42"/>
      <c r="G956" s="40"/>
      <c r="M956" s="53"/>
      <c r="P956" s="53"/>
      <c r="Q956" s="53"/>
      <c r="R956" s="53"/>
      <c r="S956" s="53"/>
    </row>
    <row r="957" spans="1:19">
      <c r="A957" s="1"/>
      <c r="E957" s="42"/>
      <c r="F957" s="42"/>
      <c r="G957" s="40"/>
      <c r="M957" s="53"/>
      <c r="P957" s="53"/>
      <c r="Q957" s="53"/>
      <c r="R957" s="53"/>
      <c r="S957" s="53"/>
    </row>
    <row r="958" spans="1:19">
      <c r="A958" s="1"/>
      <c r="E958" s="42"/>
      <c r="G958" s="40"/>
      <c r="M958" s="53"/>
      <c r="P958" s="53"/>
      <c r="Q958" s="53"/>
      <c r="R958" s="53"/>
      <c r="S958" s="53"/>
    </row>
    <row r="959" spans="1:19">
      <c r="A959" s="1"/>
      <c r="E959" s="42"/>
      <c r="F959" s="42"/>
      <c r="G959" s="40"/>
      <c r="M959" s="53"/>
      <c r="P959" s="53"/>
      <c r="Q959" s="53"/>
      <c r="R959" s="53"/>
      <c r="S959" s="53"/>
    </row>
    <row r="960" spans="1:19">
      <c r="A960" s="1"/>
      <c r="E960" s="42"/>
      <c r="G960" s="40"/>
      <c r="M960" s="53"/>
      <c r="P960" s="53"/>
      <c r="Q960" s="53"/>
      <c r="R960" s="53"/>
      <c r="S960" s="53"/>
    </row>
    <row r="961" spans="1:19">
      <c r="A961" s="1"/>
      <c r="E961" s="42"/>
      <c r="F961" s="42"/>
      <c r="G961" s="40"/>
      <c r="M961" s="53"/>
      <c r="P961" s="53"/>
      <c r="Q961" s="53"/>
      <c r="R961" s="53"/>
      <c r="S961" s="53"/>
    </row>
    <row r="962" spans="1:19">
      <c r="A962" s="1"/>
      <c r="E962" s="42"/>
      <c r="G962" s="40"/>
      <c r="M962" s="53"/>
      <c r="P962" s="53"/>
      <c r="Q962" s="53"/>
      <c r="R962" s="53"/>
      <c r="S962" s="53"/>
    </row>
    <row r="963" spans="1:19">
      <c r="A963" s="1"/>
      <c r="E963" s="42"/>
      <c r="F963" s="42"/>
      <c r="G963" s="40"/>
      <c r="M963" s="53"/>
      <c r="P963" s="53"/>
      <c r="Q963" s="53"/>
      <c r="R963" s="53"/>
      <c r="S963" s="53"/>
    </row>
    <row r="964" spans="1:19">
      <c r="A964" s="1"/>
      <c r="E964" s="42"/>
      <c r="G964" s="40"/>
      <c r="M964" s="53"/>
      <c r="P964" s="53"/>
      <c r="Q964" s="53"/>
      <c r="R964" s="53"/>
      <c r="S964" s="53"/>
    </row>
    <row r="965" spans="1:19">
      <c r="A965" s="1"/>
      <c r="E965" s="42"/>
      <c r="F965" s="42"/>
      <c r="G965" s="40"/>
      <c r="M965" s="53"/>
      <c r="P965" s="53"/>
      <c r="Q965" s="53"/>
      <c r="R965" s="53"/>
      <c r="S965" s="53"/>
    </row>
    <row r="966" spans="1:19">
      <c r="A966" s="1"/>
      <c r="E966" s="42"/>
      <c r="G966" s="40"/>
      <c r="M966" s="53"/>
      <c r="P966" s="53"/>
      <c r="Q966" s="53"/>
      <c r="R966" s="53"/>
      <c r="S966" s="53"/>
    </row>
    <row r="967" spans="1:19">
      <c r="A967" s="1"/>
      <c r="E967" s="42"/>
      <c r="F967" s="42"/>
      <c r="G967" s="40"/>
      <c r="M967" s="53"/>
      <c r="P967" s="53"/>
      <c r="Q967" s="53"/>
      <c r="R967" s="53"/>
      <c r="S967" s="53"/>
    </row>
    <row r="968" spans="1:19">
      <c r="A968" s="1"/>
      <c r="E968" s="42"/>
      <c r="G968" s="40"/>
      <c r="M968" s="53"/>
      <c r="P968" s="53"/>
      <c r="Q968" s="53"/>
      <c r="R968" s="53"/>
      <c r="S968" s="53"/>
    </row>
    <row r="969" spans="1:19">
      <c r="A969" s="1"/>
      <c r="E969" s="42"/>
      <c r="F969" s="42"/>
      <c r="G969" s="40"/>
      <c r="M969" s="53"/>
      <c r="P969" s="53"/>
      <c r="Q969" s="53"/>
      <c r="R969" s="53"/>
      <c r="S969" s="53"/>
    </row>
    <row r="970" spans="1:19">
      <c r="A970" s="1"/>
      <c r="E970" s="42"/>
      <c r="G970" s="40"/>
      <c r="M970" s="53"/>
      <c r="P970" s="53"/>
      <c r="Q970" s="53"/>
      <c r="R970" s="53"/>
      <c r="S970" s="53"/>
    </row>
    <row r="971" spans="1:19">
      <c r="A971" s="1"/>
      <c r="E971" s="42"/>
      <c r="F971" s="42"/>
      <c r="G971" s="40"/>
      <c r="M971" s="53"/>
      <c r="P971" s="53"/>
      <c r="Q971" s="53"/>
      <c r="R971" s="53"/>
      <c r="S971" s="53"/>
    </row>
    <row r="972" spans="1:19">
      <c r="A972" s="1"/>
      <c r="E972" s="42"/>
      <c r="G972" s="40"/>
      <c r="M972" s="53"/>
      <c r="P972" s="53"/>
      <c r="Q972" s="53"/>
      <c r="R972" s="53"/>
      <c r="S972" s="53"/>
    </row>
    <row r="973" spans="1:19">
      <c r="A973" s="1"/>
      <c r="E973" s="42"/>
      <c r="F973" s="42"/>
      <c r="G973" s="40"/>
      <c r="M973" s="53"/>
      <c r="P973" s="53"/>
      <c r="Q973" s="53"/>
      <c r="R973" s="53"/>
      <c r="S973" s="53"/>
    </row>
    <row r="974" spans="1:19">
      <c r="A974" s="1"/>
      <c r="E974" s="42"/>
      <c r="G974" s="40"/>
      <c r="M974" s="53"/>
      <c r="P974" s="53"/>
      <c r="Q974" s="53"/>
      <c r="R974" s="53"/>
      <c r="S974" s="53"/>
    </row>
    <row r="975" spans="1:19">
      <c r="A975" s="1"/>
      <c r="E975" s="42"/>
      <c r="F975" s="42"/>
      <c r="G975" s="40"/>
      <c r="M975" s="53"/>
      <c r="P975" s="53"/>
      <c r="Q975" s="53"/>
      <c r="R975" s="53"/>
      <c r="S975" s="53"/>
    </row>
    <row r="976" spans="1:19">
      <c r="A976" s="1"/>
      <c r="E976" s="42"/>
      <c r="G976" s="40"/>
      <c r="M976" s="53"/>
      <c r="P976" s="53"/>
      <c r="Q976" s="53"/>
      <c r="R976" s="53"/>
      <c r="S976" s="53"/>
    </row>
    <row r="977" spans="1:19">
      <c r="A977" s="1"/>
      <c r="E977" s="42"/>
      <c r="F977" s="42"/>
      <c r="G977" s="40"/>
      <c r="M977" s="53"/>
      <c r="P977" s="53"/>
      <c r="Q977" s="53"/>
      <c r="R977" s="53"/>
      <c r="S977" s="53"/>
    </row>
    <row r="978" spans="1:19">
      <c r="A978" s="1"/>
      <c r="E978" s="42"/>
      <c r="G978" s="40"/>
      <c r="M978" s="53"/>
      <c r="P978" s="53"/>
      <c r="Q978" s="53"/>
      <c r="R978" s="53"/>
      <c r="S978" s="53"/>
    </row>
    <row r="979" spans="1:19">
      <c r="A979" s="1"/>
      <c r="E979" s="42"/>
      <c r="F979" s="42"/>
      <c r="G979" s="40"/>
      <c r="M979" s="53"/>
      <c r="P979" s="53"/>
      <c r="Q979" s="53"/>
      <c r="R979" s="53"/>
      <c r="S979" s="53"/>
    </row>
    <row r="980" spans="1:19">
      <c r="A980" s="1"/>
      <c r="E980" s="42"/>
      <c r="G980" s="40"/>
      <c r="M980" s="53"/>
      <c r="P980" s="53"/>
      <c r="Q980" s="53"/>
      <c r="R980" s="53"/>
      <c r="S980" s="53"/>
    </row>
    <row r="981" spans="1:19">
      <c r="A981" s="1"/>
      <c r="E981" s="42"/>
      <c r="F981" s="42"/>
      <c r="G981" s="40"/>
      <c r="M981" s="53"/>
      <c r="P981" s="53"/>
      <c r="Q981" s="53"/>
      <c r="R981" s="53"/>
      <c r="S981" s="53"/>
    </row>
    <row r="982" spans="1:19">
      <c r="A982" s="1"/>
      <c r="E982" s="42"/>
      <c r="G982" s="40"/>
      <c r="M982" s="53"/>
      <c r="P982" s="53"/>
      <c r="Q982" s="53"/>
      <c r="R982" s="53"/>
      <c r="S982" s="53"/>
    </row>
    <row r="983" spans="1:19">
      <c r="A983" s="1"/>
      <c r="E983" s="42"/>
      <c r="F983" s="42"/>
      <c r="G983" s="40"/>
      <c r="M983" s="53"/>
      <c r="P983" s="53"/>
      <c r="Q983" s="53"/>
      <c r="R983" s="53"/>
      <c r="S983" s="53"/>
    </row>
    <row r="984" spans="1:19">
      <c r="A984" s="1"/>
      <c r="E984" s="42"/>
      <c r="G984" s="40"/>
      <c r="M984" s="53"/>
      <c r="P984" s="53"/>
      <c r="Q984" s="53"/>
      <c r="R984" s="53"/>
      <c r="S984" s="53"/>
    </row>
    <row r="985" spans="1:19">
      <c r="A985" s="1"/>
      <c r="E985" s="42"/>
      <c r="F985" s="42"/>
      <c r="G985" s="40"/>
      <c r="M985" s="53"/>
      <c r="P985" s="53"/>
      <c r="Q985" s="53"/>
      <c r="R985" s="53"/>
      <c r="S985" s="53"/>
    </row>
    <row r="986" spans="1:19">
      <c r="A986" s="1"/>
      <c r="E986" s="42"/>
      <c r="G986" s="40"/>
      <c r="M986" s="53"/>
      <c r="P986" s="53"/>
      <c r="Q986" s="53"/>
      <c r="R986" s="53"/>
      <c r="S986" s="53"/>
    </row>
    <row r="987" spans="1:19">
      <c r="A987" s="1"/>
      <c r="E987" s="42"/>
      <c r="F987" s="42"/>
      <c r="G987" s="40"/>
      <c r="M987" s="53"/>
      <c r="P987" s="53"/>
      <c r="Q987" s="53"/>
      <c r="R987" s="53"/>
      <c r="S987" s="53"/>
    </row>
    <row r="988" spans="1:19">
      <c r="A988" s="1"/>
      <c r="E988" s="42"/>
      <c r="G988" s="40"/>
      <c r="M988" s="53"/>
      <c r="P988" s="53"/>
      <c r="Q988" s="53"/>
      <c r="R988" s="53"/>
      <c r="S988" s="53"/>
    </row>
    <row r="989" spans="1:19">
      <c r="A989" s="1"/>
      <c r="E989" s="42"/>
      <c r="F989" s="42"/>
      <c r="G989" s="40"/>
      <c r="M989" s="53"/>
      <c r="P989" s="53"/>
      <c r="Q989" s="53"/>
      <c r="R989" s="53"/>
      <c r="S989" s="53"/>
    </row>
    <row r="990" spans="1:19">
      <c r="A990" s="1"/>
      <c r="E990" s="42"/>
      <c r="G990" s="40"/>
      <c r="M990" s="53"/>
      <c r="P990" s="53"/>
      <c r="Q990" s="53"/>
      <c r="R990" s="53"/>
      <c r="S990" s="53"/>
    </row>
    <row r="991" spans="1:19">
      <c r="A991" s="1"/>
      <c r="E991" s="42"/>
      <c r="F991" s="42"/>
      <c r="G991" s="40"/>
      <c r="M991" s="53"/>
      <c r="P991" s="53"/>
      <c r="Q991" s="53"/>
      <c r="R991" s="53"/>
      <c r="S991" s="53"/>
    </row>
    <row r="992" spans="1:19">
      <c r="A992" s="1"/>
      <c r="E992" s="42"/>
      <c r="G992" s="40"/>
      <c r="M992" s="53"/>
      <c r="P992" s="53"/>
      <c r="Q992" s="53"/>
      <c r="R992" s="53"/>
      <c r="S992" s="53"/>
    </row>
    <row r="993" spans="1:19">
      <c r="A993" s="1"/>
      <c r="E993" s="42"/>
      <c r="F993" s="42"/>
      <c r="G993" s="40"/>
      <c r="M993" s="53"/>
      <c r="P993" s="53"/>
      <c r="Q993" s="53"/>
      <c r="R993" s="53"/>
      <c r="S993" s="53"/>
    </row>
    <row r="994" spans="1:19">
      <c r="A994" s="1"/>
      <c r="E994" s="42"/>
      <c r="G994" s="40"/>
      <c r="M994" s="53"/>
      <c r="P994" s="53"/>
      <c r="Q994" s="53"/>
      <c r="R994" s="53"/>
      <c r="S994" s="53"/>
    </row>
    <row r="995" spans="1:19">
      <c r="A995" s="1"/>
      <c r="E995" s="42"/>
      <c r="F995" s="42"/>
      <c r="G995" s="40"/>
      <c r="M995" s="53"/>
      <c r="P995" s="53"/>
      <c r="Q995" s="53"/>
      <c r="R995" s="53"/>
      <c r="S995" s="53"/>
    </row>
    <row r="996" spans="1:19">
      <c r="A996" s="1"/>
      <c r="E996" s="42"/>
      <c r="G996" s="40"/>
      <c r="M996" s="53"/>
      <c r="P996" s="53"/>
      <c r="Q996" s="53"/>
      <c r="R996" s="53"/>
      <c r="S996" s="53"/>
    </row>
    <row r="997" spans="1:19">
      <c r="A997" s="1"/>
      <c r="E997" s="42"/>
      <c r="F997" s="42"/>
      <c r="G997" s="40"/>
      <c r="M997" s="53"/>
      <c r="P997" s="53"/>
      <c r="Q997" s="53"/>
      <c r="R997" s="53"/>
      <c r="S997" s="53"/>
    </row>
    <row r="998" spans="1:19">
      <c r="A998" s="1"/>
      <c r="E998" s="42"/>
      <c r="G998" s="40"/>
      <c r="M998" s="53"/>
      <c r="P998" s="53"/>
      <c r="Q998" s="53"/>
      <c r="R998" s="53"/>
      <c r="S998" s="53"/>
    </row>
    <row r="999" spans="1:19">
      <c r="A999" s="1"/>
      <c r="E999" s="42"/>
      <c r="F999" s="42"/>
      <c r="G999" s="40"/>
      <c r="M999" s="53"/>
      <c r="P999" s="53"/>
      <c r="Q999" s="53"/>
      <c r="R999" s="53"/>
      <c r="S999" s="53"/>
    </row>
    <row r="1000" spans="1:19">
      <c r="A1000" s="1"/>
      <c r="E1000" s="42"/>
      <c r="G1000" s="40"/>
      <c r="M1000" s="53"/>
      <c r="P1000" s="53"/>
      <c r="Q1000" s="53"/>
      <c r="R1000" s="53"/>
      <c r="S1000" s="53"/>
    </row>
    <row r="1001" spans="1:19">
      <c r="A1001" s="1"/>
      <c r="E1001" s="42"/>
      <c r="F1001" s="42"/>
      <c r="G1001" s="40"/>
      <c r="M1001" s="53"/>
      <c r="P1001" s="53"/>
      <c r="Q1001" s="53"/>
      <c r="R1001" s="53"/>
      <c r="S1001" s="53"/>
    </row>
    <row r="1002" spans="1:19">
      <c r="A1002" s="1"/>
      <c r="E1002" s="42"/>
      <c r="G1002" s="40"/>
      <c r="M1002" s="53"/>
      <c r="P1002" s="53"/>
      <c r="Q1002" s="53"/>
      <c r="R1002" s="53"/>
      <c r="S1002" s="53"/>
    </row>
    <row r="1003" spans="1:19">
      <c r="A1003" s="1"/>
      <c r="E1003" s="42"/>
      <c r="F1003" s="42"/>
      <c r="G1003" s="40"/>
      <c r="M1003" s="53"/>
      <c r="P1003" s="53"/>
      <c r="Q1003" s="53"/>
      <c r="R1003" s="53"/>
      <c r="S1003" s="53"/>
    </row>
    <row r="1004" spans="1:19">
      <c r="A1004" s="1"/>
      <c r="E1004" s="42"/>
      <c r="G1004" s="40"/>
      <c r="M1004" s="53"/>
      <c r="P1004" s="53"/>
      <c r="Q1004" s="53"/>
      <c r="R1004" s="53"/>
      <c r="S1004" s="53"/>
    </row>
    <row r="1005" spans="1:19">
      <c r="A1005" s="1"/>
      <c r="E1005" s="42"/>
      <c r="F1005" s="42"/>
      <c r="G1005" s="40"/>
      <c r="M1005" s="53"/>
      <c r="P1005" s="53"/>
      <c r="Q1005" s="53"/>
      <c r="R1005" s="53"/>
      <c r="S1005" s="53"/>
    </row>
    <row r="1006" spans="1:19">
      <c r="A1006" s="1"/>
      <c r="E1006" s="42"/>
      <c r="G1006" s="40"/>
      <c r="M1006" s="53"/>
      <c r="P1006" s="53"/>
      <c r="Q1006" s="53"/>
      <c r="R1006" s="53"/>
      <c r="S1006" s="53"/>
    </row>
    <row r="1007" spans="1:19">
      <c r="A1007" s="1"/>
      <c r="E1007" s="42"/>
      <c r="F1007" s="42"/>
      <c r="G1007" s="40"/>
      <c r="M1007" s="53"/>
      <c r="P1007" s="53"/>
      <c r="Q1007" s="53"/>
      <c r="R1007" s="53"/>
      <c r="S1007" s="53"/>
    </row>
    <row r="1008" spans="1:19">
      <c r="A1008" s="1"/>
      <c r="E1008" s="42"/>
      <c r="G1008" s="40"/>
      <c r="M1008" s="53"/>
      <c r="P1008" s="53"/>
      <c r="Q1008" s="53"/>
      <c r="R1008" s="53"/>
      <c r="S1008" s="53"/>
    </row>
    <row r="1009" spans="1:19">
      <c r="A1009" s="1"/>
      <c r="E1009" s="42"/>
      <c r="F1009" s="42"/>
      <c r="G1009" s="40"/>
      <c r="M1009" s="53"/>
      <c r="P1009" s="53"/>
      <c r="Q1009" s="53"/>
      <c r="R1009" s="53"/>
      <c r="S1009" s="53"/>
    </row>
    <row r="1010" spans="1:19">
      <c r="A1010" s="1"/>
      <c r="E1010" s="42"/>
      <c r="G1010" s="40"/>
      <c r="M1010" s="53"/>
      <c r="P1010" s="53"/>
      <c r="Q1010" s="53"/>
      <c r="R1010" s="53"/>
      <c r="S1010" s="53"/>
    </row>
    <row r="1011" spans="1:19">
      <c r="A1011" s="1"/>
      <c r="E1011" s="42"/>
      <c r="F1011" s="42"/>
      <c r="G1011" s="40"/>
      <c r="M1011" s="53"/>
      <c r="P1011" s="53"/>
      <c r="Q1011" s="53"/>
      <c r="R1011" s="53"/>
      <c r="S1011" s="53"/>
    </row>
    <row r="1012" spans="1:19">
      <c r="A1012" s="1"/>
      <c r="E1012" s="42"/>
      <c r="G1012" s="40"/>
      <c r="M1012" s="53"/>
      <c r="P1012" s="53"/>
      <c r="Q1012" s="53"/>
      <c r="R1012" s="53"/>
      <c r="S1012" s="53"/>
    </row>
    <row r="1013" spans="1:19">
      <c r="A1013" s="1"/>
      <c r="E1013" s="42"/>
      <c r="F1013" s="42"/>
      <c r="G1013" s="40"/>
      <c r="M1013" s="53"/>
      <c r="P1013" s="53"/>
      <c r="Q1013" s="53"/>
      <c r="R1013" s="53"/>
      <c r="S1013" s="53"/>
    </row>
    <row r="1014" spans="1:19">
      <c r="A1014" s="1"/>
      <c r="E1014" s="42"/>
      <c r="G1014" s="40"/>
      <c r="M1014" s="53"/>
      <c r="P1014" s="53"/>
      <c r="Q1014" s="53"/>
      <c r="R1014" s="53"/>
      <c r="S1014" s="53"/>
    </row>
    <row r="1015" spans="1:19">
      <c r="A1015" s="1"/>
      <c r="E1015" s="42"/>
      <c r="F1015" s="42"/>
      <c r="G1015" s="40"/>
      <c r="M1015" s="53"/>
      <c r="P1015" s="53"/>
      <c r="Q1015" s="53"/>
      <c r="R1015" s="53"/>
      <c r="S1015" s="53"/>
    </row>
    <row r="1016" spans="1:19">
      <c r="A1016" s="1"/>
      <c r="E1016" s="42"/>
      <c r="G1016" s="40"/>
      <c r="M1016" s="53"/>
      <c r="P1016" s="53"/>
      <c r="Q1016" s="53"/>
      <c r="R1016" s="53"/>
      <c r="S1016" s="53"/>
    </row>
    <row r="1017" spans="1:19">
      <c r="A1017" s="1"/>
      <c r="E1017" s="42"/>
      <c r="F1017" s="42"/>
      <c r="G1017" s="40"/>
      <c r="M1017" s="53"/>
      <c r="P1017" s="53"/>
      <c r="Q1017" s="53"/>
      <c r="R1017" s="53"/>
      <c r="S1017" s="53"/>
    </row>
    <row r="1018" spans="1:19">
      <c r="A1018" s="1"/>
      <c r="E1018" s="42"/>
      <c r="G1018" s="40"/>
      <c r="M1018" s="53"/>
      <c r="P1018" s="53"/>
      <c r="Q1018" s="53"/>
      <c r="R1018" s="53"/>
      <c r="S1018" s="53"/>
    </row>
    <row r="1019" spans="1:19">
      <c r="A1019" s="1"/>
      <c r="E1019" s="42"/>
      <c r="F1019" s="42"/>
      <c r="G1019" s="40"/>
      <c r="M1019" s="53"/>
      <c r="P1019" s="53"/>
      <c r="Q1019" s="53"/>
      <c r="R1019" s="53"/>
      <c r="S1019" s="53"/>
    </row>
    <row r="1020" spans="1:19">
      <c r="A1020" s="1"/>
      <c r="E1020" s="42"/>
      <c r="G1020" s="40"/>
      <c r="M1020" s="53"/>
      <c r="P1020" s="53"/>
      <c r="Q1020" s="53"/>
      <c r="R1020" s="53"/>
      <c r="S1020" s="53"/>
    </row>
    <row r="1021" spans="1:19">
      <c r="A1021" s="1"/>
      <c r="E1021" s="42"/>
      <c r="F1021" s="42"/>
      <c r="G1021" s="40"/>
      <c r="M1021" s="53"/>
      <c r="P1021" s="53"/>
      <c r="Q1021" s="53"/>
      <c r="R1021" s="53"/>
      <c r="S1021" s="53"/>
    </row>
    <row r="1022" spans="1:19">
      <c r="A1022" s="1"/>
      <c r="E1022" s="42"/>
      <c r="G1022" s="40"/>
      <c r="M1022" s="53"/>
      <c r="P1022" s="53"/>
      <c r="Q1022" s="53"/>
      <c r="R1022" s="53"/>
      <c r="S1022" s="53"/>
    </row>
    <row r="1023" spans="1:19">
      <c r="A1023" s="1"/>
      <c r="E1023" s="42"/>
      <c r="F1023" s="42"/>
      <c r="G1023" s="40"/>
      <c r="M1023" s="53"/>
      <c r="P1023" s="53"/>
      <c r="Q1023" s="53"/>
      <c r="R1023" s="53"/>
      <c r="S1023" s="53"/>
    </row>
    <row r="1024" spans="1:19">
      <c r="A1024" s="1"/>
      <c r="E1024" s="42"/>
      <c r="G1024" s="40"/>
      <c r="M1024" s="53"/>
      <c r="P1024" s="53"/>
      <c r="Q1024" s="53"/>
      <c r="R1024" s="53"/>
      <c r="S1024" s="53"/>
    </row>
    <row r="1025" spans="1:19">
      <c r="A1025" s="1"/>
      <c r="E1025" s="42"/>
      <c r="F1025" s="42"/>
      <c r="G1025" s="40"/>
      <c r="M1025" s="53"/>
      <c r="P1025" s="53"/>
      <c r="Q1025" s="53"/>
      <c r="R1025" s="53"/>
      <c r="S1025" s="53"/>
    </row>
    <row r="1026" spans="1:19">
      <c r="A1026" s="1"/>
      <c r="E1026" s="42"/>
      <c r="G1026" s="40"/>
      <c r="M1026" s="53"/>
      <c r="P1026" s="53"/>
      <c r="Q1026" s="53"/>
      <c r="R1026" s="53"/>
      <c r="S1026" s="53"/>
    </row>
    <row r="1027" spans="1:19">
      <c r="A1027" s="1"/>
      <c r="E1027" s="42"/>
      <c r="F1027" s="42"/>
      <c r="G1027" s="40"/>
      <c r="M1027" s="53"/>
      <c r="P1027" s="53"/>
      <c r="Q1027" s="53"/>
      <c r="R1027" s="53"/>
      <c r="S1027" s="53"/>
    </row>
    <row r="1028" spans="1:19">
      <c r="A1028" s="1"/>
      <c r="E1028" s="42"/>
      <c r="G1028" s="40"/>
      <c r="M1028" s="53"/>
      <c r="P1028" s="53"/>
      <c r="Q1028" s="53"/>
      <c r="R1028" s="53"/>
      <c r="S1028" s="53"/>
    </row>
    <row r="1029" spans="1:19">
      <c r="A1029" s="1"/>
      <c r="E1029" s="42"/>
      <c r="F1029" s="42"/>
      <c r="G1029" s="40"/>
      <c r="M1029" s="53"/>
      <c r="P1029" s="53"/>
      <c r="Q1029" s="53"/>
      <c r="R1029" s="53"/>
      <c r="S1029" s="53"/>
    </row>
    <row r="1030" spans="1:19">
      <c r="A1030" s="1"/>
      <c r="E1030" s="42"/>
      <c r="G1030" s="40"/>
      <c r="M1030" s="53"/>
      <c r="P1030" s="53"/>
      <c r="Q1030" s="53"/>
      <c r="R1030" s="53"/>
      <c r="S1030" s="53"/>
    </row>
    <row r="1031" spans="1:19">
      <c r="A1031" s="1"/>
      <c r="E1031" s="42"/>
      <c r="F1031" s="42"/>
      <c r="G1031" s="40"/>
      <c r="M1031" s="53"/>
      <c r="P1031" s="53"/>
      <c r="Q1031" s="53"/>
      <c r="R1031" s="53"/>
      <c r="S1031" s="53"/>
    </row>
    <row r="1032" spans="1:19">
      <c r="A1032" s="1"/>
      <c r="E1032" s="42"/>
      <c r="G1032" s="40"/>
      <c r="M1032" s="53"/>
      <c r="P1032" s="53"/>
      <c r="Q1032" s="53"/>
      <c r="R1032" s="53"/>
      <c r="S1032" s="53"/>
    </row>
    <row r="1033" spans="1:19">
      <c r="A1033" s="1"/>
      <c r="E1033" s="42"/>
      <c r="F1033" s="42"/>
      <c r="G1033" s="40"/>
      <c r="M1033" s="53"/>
      <c r="P1033" s="53"/>
      <c r="Q1033" s="53"/>
      <c r="R1033" s="53"/>
      <c r="S1033" s="53"/>
    </row>
    <row r="1034" spans="1:19">
      <c r="A1034" s="1"/>
      <c r="E1034" s="42"/>
      <c r="G1034" s="40"/>
      <c r="M1034" s="53"/>
      <c r="P1034" s="53"/>
      <c r="Q1034" s="53"/>
      <c r="R1034" s="53"/>
      <c r="S1034" s="53"/>
    </row>
    <row r="1035" spans="1:19">
      <c r="A1035" s="1"/>
      <c r="E1035" s="42"/>
      <c r="F1035" s="42"/>
      <c r="G1035" s="40"/>
      <c r="M1035" s="53"/>
      <c r="P1035" s="53"/>
      <c r="Q1035" s="53"/>
      <c r="R1035" s="53"/>
      <c r="S1035" s="53"/>
    </row>
    <row r="1036" spans="1:19">
      <c r="A1036" s="1"/>
      <c r="E1036" s="42"/>
      <c r="G1036" s="40"/>
      <c r="M1036" s="53"/>
      <c r="P1036" s="53"/>
      <c r="Q1036" s="53"/>
      <c r="R1036" s="53"/>
      <c r="S1036" s="53"/>
    </row>
    <row r="1037" spans="1:19">
      <c r="A1037" s="1"/>
      <c r="E1037" s="42"/>
      <c r="F1037" s="42"/>
      <c r="G1037" s="40"/>
      <c r="M1037" s="53"/>
      <c r="P1037" s="53"/>
      <c r="Q1037" s="53"/>
      <c r="R1037" s="53"/>
      <c r="S1037" s="53"/>
    </row>
    <row r="1038" spans="1:19">
      <c r="A1038" s="1"/>
      <c r="E1038" s="42"/>
      <c r="G1038" s="40"/>
      <c r="M1038" s="53"/>
      <c r="P1038" s="53"/>
      <c r="Q1038" s="53"/>
      <c r="R1038" s="53"/>
      <c r="S1038" s="53"/>
    </row>
    <row r="1039" spans="1:19">
      <c r="A1039" s="1"/>
      <c r="E1039" s="42"/>
      <c r="F1039" s="42"/>
      <c r="G1039" s="40"/>
      <c r="M1039" s="53"/>
      <c r="P1039" s="53"/>
      <c r="Q1039" s="53"/>
      <c r="R1039" s="53"/>
      <c r="S1039" s="53"/>
    </row>
    <row r="1040" spans="1:19">
      <c r="A1040" s="1"/>
      <c r="E1040" s="42"/>
      <c r="G1040" s="40"/>
      <c r="M1040" s="53"/>
      <c r="P1040" s="53"/>
      <c r="Q1040" s="53"/>
      <c r="R1040" s="53"/>
      <c r="S1040" s="53"/>
    </row>
    <row r="1041" spans="1:19">
      <c r="A1041" s="1"/>
      <c r="E1041" s="42"/>
      <c r="F1041" s="42"/>
      <c r="G1041" s="40"/>
      <c r="M1041" s="53"/>
      <c r="P1041" s="53"/>
      <c r="Q1041" s="53"/>
      <c r="R1041" s="53"/>
      <c r="S1041" s="53"/>
    </row>
    <row r="1042" spans="1:19">
      <c r="A1042" s="1"/>
      <c r="E1042" s="42"/>
      <c r="G1042" s="40"/>
      <c r="M1042" s="53"/>
      <c r="P1042" s="53"/>
      <c r="Q1042" s="53"/>
      <c r="R1042" s="53"/>
      <c r="S1042" s="53"/>
    </row>
    <row r="1043" spans="1:19">
      <c r="A1043" s="1"/>
      <c r="E1043" s="42"/>
      <c r="F1043" s="42"/>
      <c r="G1043" s="40"/>
      <c r="M1043" s="53"/>
      <c r="P1043" s="53"/>
      <c r="Q1043" s="53"/>
      <c r="R1043" s="53"/>
      <c r="S1043" s="53"/>
    </row>
    <row r="1044" spans="1:19">
      <c r="A1044" s="1"/>
      <c r="E1044" s="42"/>
      <c r="G1044" s="40"/>
      <c r="M1044" s="53"/>
      <c r="P1044" s="53"/>
      <c r="Q1044" s="53"/>
      <c r="R1044" s="53"/>
      <c r="S1044" s="53"/>
    </row>
    <row r="1045" spans="1:19">
      <c r="A1045" s="1"/>
      <c r="E1045" s="42"/>
      <c r="F1045" s="42"/>
      <c r="G1045" s="40"/>
      <c r="M1045" s="53"/>
      <c r="P1045" s="53"/>
      <c r="Q1045" s="53"/>
      <c r="R1045" s="53"/>
      <c r="S1045" s="53"/>
    </row>
    <row r="1046" spans="1:19">
      <c r="A1046" s="1"/>
      <c r="E1046" s="42"/>
      <c r="G1046" s="40"/>
      <c r="M1046" s="53"/>
      <c r="P1046" s="53"/>
      <c r="Q1046" s="53"/>
      <c r="R1046" s="53"/>
      <c r="S1046" s="53"/>
    </row>
    <row r="1047" spans="1:19">
      <c r="A1047" s="1"/>
      <c r="E1047" s="42"/>
      <c r="F1047" s="42"/>
      <c r="G1047" s="40"/>
      <c r="M1047" s="53"/>
      <c r="P1047" s="53"/>
      <c r="Q1047" s="53"/>
      <c r="R1047" s="53"/>
      <c r="S1047" s="53"/>
    </row>
    <row r="1048" spans="1:19">
      <c r="A1048" s="1"/>
      <c r="E1048" s="42"/>
      <c r="G1048" s="40"/>
      <c r="M1048" s="53"/>
      <c r="P1048" s="53"/>
      <c r="Q1048" s="53"/>
      <c r="R1048" s="53"/>
      <c r="S1048" s="53"/>
    </row>
  </sheetData>
  <sheetProtection selectLockedCells="1"/>
  <autoFilter ref="D1:D1049" xr:uid="{00000000-0001-0000-0300-000000000000}">
    <sortState xmlns:xlrd2="http://schemas.microsoft.com/office/spreadsheetml/2017/richdata2" ref="A4:Z1048">
      <sortCondition ref="D1:D1049"/>
    </sortState>
  </autoFilter>
  <mergeCells count="11">
    <mergeCell ref="G1:G2"/>
    <mergeCell ref="H1:H2"/>
    <mergeCell ref="I1:I2"/>
    <mergeCell ref="K1:Q1"/>
    <mergeCell ref="T1:Z1"/>
    <mergeCell ref="F1:F2"/>
    <mergeCell ref="A1:A2"/>
    <mergeCell ref="B1:B2"/>
    <mergeCell ref="C1:C2"/>
    <mergeCell ref="D1:D2"/>
    <mergeCell ref="E1:E2"/>
  </mergeCells>
  <dataValidations count="1">
    <dataValidation allowBlank="1" showInputMessage="1" showErrorMessage="1" errorTitle="Limite de caracteres" error="Este campo tem o limite de 12 caracteres" sqref="B214:B1048576 B1:B2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/>
  <dimension ref="A1:N11"/>
  <sheetViews>
    <sheetView workbookViewId="0"/>
  </sheetViews>
  <sheetFormatPr defaultRowHeight="14.4"/>
  <cols>
    <col min="1" max="1" width="22.6640625" style="1" customWidth="1"/>
    <col min="2" max="2" width="23.5546875" style="1" customWidth="1"/>
    <col min="3" max="3" width="37" style="1" customWidth="1"/>
    <col min="4" max="4" width="27.5546875" style="1" customWidth="1"/>
    <col min="5" max="13" width="23.33203125" style="67" customWidth="1"/>
  </cols>
  <sheetData>
    <row r="1" spans="1:14" ht="117" customHeight="1">
      <c r="A1" s="19" t="s">
        <v>84</v>
      </c>
      <c r="B1" s="19" t="s">
        <v>85</v>
      </c>
      <c r="C1" s="19" t="s">
        <v>86</v>
      </c>
      <c r="D1" s="19" t="s">
        <v>87</v>
      </c>
      <c r="E1" s="66" t="s">
        <v>96</v>
      </c>
      <c r="F1" s="66" t="s">
        <v>95</v>
      </c>
      <c r="G1" s="66" t="s">
        <v>94</v>
      </c>
      <c r="H1" s="66" t="s">
        <v>93</v>
      </c>
      <c r="I1" s="66" t="s">
        <v>92</v>
      </c>
      <c r="J1" s="66" t="s">
        <v>90</v>
      </c>
      <c r="K1" s="66" t="s">
        <v>91</v>
      </c>
      <c r="L1" s="66" t="s">
        <v>89</v>
      </c>
      <c r="M1" s="66" t="s">
        <v>88</v>
      </c>
    </row>
    <row r="2" spans="1:14">
      <c r="M2" s="53"/>
    </row>
    <row r="3" spans="1:14">
      <c r="M3" s="53"/>
    </row>
    <row r="5" spans="1:14">
      <c r="G5" s="53"/>
      <c r="H5" s="65"/>
      <c r="I5" s="53"/>
      <c r="J5" s="53"/>
      <c r="K5" s="65"/>
      <c r="L5" s="65"/>
      <c r="M5" s="53"/>
    </row>
    <row r="6" spans="1:14">
      <c r="M6" s="53"/>
    </row>
    <row r="7" spans="1:14">
      <c r="M7" s="53"/>
      <c r="N7" s="3"/>
    </row>
    <row r="8" spans="1:14">
      <c r="M8" s="53"/>
      <c r="N8" s="3"/>
    </row>
    <row r="10" spans="1:14">
      <c r="M10" s="53"/>
    </row>
    <row r="11" spans="1:14">
      <c r="G11" s="53"/>
      <c r="H11" s="65"/>
      <c r="I11" s="53"/>
      <c r="J11" s="53"/>
      <c r="K11" s="65"/>
      <c r="L11" s="65"/>
      <c r="M11" s="53"/>
    </row>
  </sheetData>
  <sortState xmlns:xlrd2="http://schemas.microsoft.com/office/spreadsheetml/2017/richdata2" ref="A2:N18">
    <sortCondition ref="F2:F1048576"/>
  </sortState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AC20"/>
  <sheetViews>
    <sheetView showGridLines="0" zoomScale="80" zoomScaleNormal="80" workbookViewId="0">
      <selection activeCell="E6" sqref="E6"/>
    </sheetView>
  </sheetViews>
  <sheetFormatPr defaultRowHeight="14.4"/>
  <cols>
    <col min="2" max="2" width="15" customWidth="1"/>
    <col min="3" max="3" width="19.44140625" customWidth="1"/>
    <col min="4" max="4" width="17.44140625" customWidth="1"/>
    <col min="5" max="12" width="17.6640625" customWidth="1"/>
    <col min="13" max="20" width="17.5546875" customWidth="1"/>
    <col min="26" max="26" width="11.5546875" customWidth="1"/>
    <col min="27" max="27" width="11.88671875" customWidth="1"/>
    <col min="28" max="28" width="10.6640625" bestFit="1" customWidth="1"/>
  </cols>
  <sheetData>
    <row r="1" spans="1:28" ht="15" thickBot="1">
      <c r="A1" s="1" t="s">
        <v>22</v>
      </c>
      <c r="C1" s="18" t="s">
        <v>197</v>
      </c>
      <c r="D1" s="1"/>
      <c r="H1" s="10"/>
      <c r="Y1" s="1"/>
    </row>
    <row r="2" spans="1:28" ht="15.75" customHeight="1" thickBot="1">
      <c r="A2" t="s">
        <v>0</v>
      </c>
      <c r="C2" s="125" t="s">
        <v>198</v>
      </c>
      <c r="D2" s="126"/>
      <c r="E2" s="126"/>
      <c r="F2" s="126"/>
      <c r="G2" s="126"/>
      <c r="H2" s="127"/>
    </row>
    <row r="3" spans="1:28">
      <c r="J3" t="str">
        <f>IF(AND(G2&gt;0,G1048576&lt;&gt;J2,G1048576&lt;&gt;J1,G1048576&lt;&gt;J1048576),G1048576,"")</f>
        <v/>
      </c>
      <c r="Z3" t="str">
        <f>IF(AND(W2&gt;0,W1048576&lt;&gt;Z2,W1048576&lt;&gt;Z1,W1048576&lt;&gt;Z1048576),W1048576,"")</f>
        <v/>
      </c>
      <c r="AA3" t="str">
        <f>IF(AND(X2&gt;0,X1048576&lt;&gt;AA2,X1048576&lt;&gt;AA1,X1048576&lt;&gt;AA1048576),X1048576,"")</f>
        <v/>
      </c>
      <c r="AB3" t="str">
        <f>IF(AND(Y2&gt;0,Y1048576&lt;&gt;AB2,Y1048576&lt;&gt;AB1,Y1048576&lt;&gt;AB1048576),Y1048576,"")</f>
        <v/>
      </c>
    </row>
    <row r="4" spans="1:28" ht="101.25" customHeight="1">
      <c r="D4" s="6">
        <f>IF(D7&gt;0,1,0)</f>
        <v>0</v>
      </c>
      <c r="E4" s="6">
        <f t="shared" ref="E4:K4" si="0">IF(E7&gt;0,1,0)</f>
        <v>0</v>
      </c>
      <c r="F4" s="6">
        <f t="shared" si="0"/>
        <v>0</v>
      </c>
      <c r="G4" s="6">
        <f t="shared" si="0"/>
        <v>0</v>
      </c>
      <c r="H4" s="6">
        <f t="shared" si="0"/>
        <v>0</v>
      </c>
      <c r="I4" s="6">
        <f t="shared" si="0"/>
        <v>0</v>
      </c>
      <c r="J4" s="6">
        <f t="shared" si="0"/>
        <v>0</v>
      </c>
      <c r="K4" s="6">
        <f t="shared" si="0"/>
        <v>0</v>
      </c>
      <c r="L4" s="6">
        <f>IF(L7&gt;0,1,0)</f>
        <v>0</v>
      </c>
      <c r="M4" s="6">
        <f>IF(M7&gt;0,1,0)</f>
        <v>0</v>
      </c>
      <c r="N4" s="6">
        <f>IF(N7&gt;0,1,0)</f>
        <v>0</v>
      </c>
      <c r="O4" s="6">
        <f>IF(O7&gt;0,1,0)</f>
        <v>0</v>
      </c>
      <c r="P4" s="6">
        <f t="shared" ref="P4:T4" si="1">IF(P7&gt;0,1,0)</f>
        <v>0</v>
      </c>
      <c r="Q4" s="6">
        <f t="shared" si="1"/>
        <v>0</v>
      </c>
      <c r="R4" s="6">
        <f t="shared" si="1"/>
        <v>1</v>
      </c>
      <c r="S4" s="6">
        <f t="shared" si="1"/>
        <v>0</v>
      </c>
      <c r="T4" s="6">
        <f t="shared" si="1"/>
        <v>0</v>
      </c>
    </row>
    <row r="5" spans="1:28" ht="43.8" thickBot="1">
      <c r="D5" s="4" t="s">
        <v>180</v>
      </c>
      <c r="E5" s="4" t="s">
        <v>181</v>
      </c>
      <c r="F5" s="4" t="s">
        <v>182</v>
      </c>
      <c r="G5" s="4" t="s">
        <v>183</v>
      </c>
      <c r="H5" s="4" t="s">
        <v>184</v>
      </c>
      <c r="I5" s="4" t="s">
        <v>185</v>
      </c>
      <c r="J5" s="13" t="s">
        <v>186</v>
      </c>
      <c r="K5" s="13" t="s">
        <v>187</v>
      </c>
      <c r="L5" s="13" t="s">
        <v>188</v>
      </c>
      <c r="M5" s="13" t="s">
        <v>189</v>
      </c>
      <c r="N5" s="13" t="s">
        <v>190</v>
      </c>
      <c r="O5" s="13" t="s">
        <v>191</v>
      </c>
      <c r="P5" s="13" t="s">
        <v>192</v>
      </c>
      <c r="Q5" s="13" t="s">
        <v>193</v>
      </c>
      <c r="R5" s="13" t="s">
        <v>194</v>
      </c>
      <c r="S5" s="13" t="s">
        <v>195</v>
      </c>
      <c r="T5" s="13" t="s">
        <v>196</v>
      </c>
    </row>
    <row r="6" spans="1:28" ht="15" thickBot="1">
      <c r="A6" s="128" t="s">
        <v>20</v>
      </c>
      <c r="B6" s="128"/>
      <c r="C6" s="128"/>
      <c r="D6" s="16"/>
      <c r="E6" s="16" t="s">
        <v>217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43"/>
      <c r="S6" s="16"/>
      <c r="T6" s="16"/>
    </row>
    <row r="7" spans="1:28">
      <c r="A7" s="128" t="s">
        <v>21</v>
      </c>
      <c r="B7" s="128"/>
      <c r="C7" s="128"/>
      <c r="D7" s="14">
        <f>COUNTIF(Beneficiario!J:J,"&gt;=0")+COUNTIF(Provisorio!E:E,"&gt;=0")</f>
        <v>0</v>
      </c>
      <c r="E7" s="14">
        <f>COUNTIF(Beneficiario!K:K,"&gt;=0")+COUNTIF(Provisorio!F:F,"&gt;=0")</f>
        <v>0</v>
      </c>
      <c r="F7" s="14">
        <f>COUNTIF(Beneficiario!L:L,"&gt;=0")+COUNTIF(Provisorio!G:G,"&gt;=0")</f>
        <v>0</v>
      </c>
      <c r="G7" s="14">
        <f>COUNTIF(Beneficiario!M:M,"&gt;=0")</f>
        <v>0</v>
      </c>
      <c r="H7" s="14">
        <f>COUNTIF(Beneficiario!N:N,"&gt;=0")+COUNTIF(Provisorio!H:H,"&gt;=0")</f>
        <v>0</v>
      </c>
      <c r="I7" s="14">
        <f>COUNTIF(Beneficiario!O:O,"&gt;=0")+COUNTIF(Provisorio!I:I,"&gt;=0")</f>
        <v>0</v>
      </c>
      <c r="J7" s="14">
        <f>COUNTIF(Beneficiario!P:P,"&gt;=0")+COUNTIF(Provisorio!J:J,"&gt;=0")</f>
        <v>0</v>
      </c>
      <c r="K7" s="14">
        <f>COUNTIF(Beneficiario!Q:Q,"&gt;=0")+COUNTIF(Provisorio!K:K,"&gt;=0")</f>
        <v>0</v>
      </c>
      <c r="L7" s="14">
        <f>COUNTIF(Beneficiario!R:R,"&gt;=0")+COUNTIF(Provisorio!L:L,"&gt;=0")</f>
        <v>0</v>
      </c>
      <c r="M7" s="14">
        <f>COUNTIF(Beneficiario!S:S,"&gt;=0")+COUNTIF(Provisorio!M:M,"&gt;=0")</f>
        <v>0</v>
      </c>
      <c r="N7" s="14">
        <f>COUNTIF(Beneficiario!T:T,"&gt;=0")</f>
        <v>0</v>
      </c>
      <c r="O7" s="14">
        <f>COUNTIF(Beneficiario!U:U,"&gt;=0")</f>
        <v>0</v>
      </c>
      <c r="P7" s="14">
        <f>COUNTIF(Beneficiario!V:V,"&gt;=0")</f>
        <v>0</v>
      </c>
      <c r="Q7" s="14">
        <f>COUNTIF(Beneficiario!W:W,"&gt;=0")</f>
        <v>0</v>
      </c>
      <c r="R7" s="14">
        <f>COUNTIF(Beneficiario!X:X,"&gt;=0")</f>
        <v>3</v>
      </c>
      <c r="S7" s="14">
        <f>COUNTIF(Beneficiario!Y:Y,"&gt;=0")</f>
        <v>0</v>
      </c>
      <c r="T7" s="14">
        <f>COUNTIF(Beneficiario!Z:Z,"&gt;=0")</f>
        <v>0</v>
      </c>
    </row>
    <row r="8" spans="1:28">
      <c r="A8" s="128" t="s">
        <v>19</v>
      </c>
      <c r="B8" s="128"/>
      <c r="C8" s="128"/>
      <c r="D8" s="2">
        <f>SUM(Beneficiario!J:J)+SUM(Provisorio!E:E)</f>
        <v>0</v>
      </c>
      <c r="E8" s="2">
        <f>SUM(Beneficiario!K:K)+SUM(Provisorio!F:F)</f>
        <v>0</v>
      </c>
      <c r="F8" s="2">
        <f>SUM(Beneficiario!L:L)+SUM(Provisorio!G:G)</f>
        <v>0</v>
      </c>
      <c r="G8" s="2">
        <f>SUM(Beneficiario!M:M)</f>
        <v>0</v>
      </c>
      <c r="H8" s="2">
        <f>SUM(Beneficiario!N:N)+SUM(Provisorio!H:H)</f>
        <v>0</v>
      </c>
      <c r="I8" s="2">
        <f>SUM(Beneficiario!O:O)+SUM(Provisorio!I:I)</f>
        <v>0</v>
      </c>
      <c r="J8" s="2">
        <f>SUM(Beneficiario!P:P)+SUM(Provisorio!J:J)</f>
        <v>0</v>
      </c>
      <c r="K8" s="2">
        <f>SUM(Beneficiario!Q:Q)+SUM(Provisorio!K:K)</f>
        <v>0</v>
      </c>
      <c r="L8" s="2">
        <f>SUM(Beneficiario!R:R)+SUM(Provisorio!L:L)</f>
        <v>0</v>
      </c>
      <c r="M8" s="2">
        <f>SUM(Beneficiario!S:S)+SUM(Provisorio!M:M)</f>
        <v>0</v>
      </c>
      <c r="N8" s="2">
        <f>SUM(Beneficiario!T:T)</f>
        <v>0</v>
      </c>
      <c r="O8" s="2">
        <f>SUM(Beneficiario!U:U)</f>
        <v>0</v>
      </c>
      <c r="P8" s="2">
        <f>SUM(Beneficiario!V:V)</f>
        <v>0</v>
      </c>
      <c r="Q8" s="2">
        <f>SUM(Beneficiario!W:W)</f>
        <v>0</v>
      </c>
      <c r="R8" s="2">
        <f>SUM(Beneficiario!X:X)</f>
        <v>150</v>
      </c>
      <c r="S8" s="2">
        <f>SUM(Beneficiario!Y:Y)</f>
        <v>0</v>
      </c>
      <c r="T8" s="2">
        <f>SUM(Beneficiario!Z:Z)</f>
        <v>0</v>
      </c>
    </row>
    <row r="9" spans="1:28">
      <c r="I9" s="6"/>
    </row>
    <row r="10" spans="1:28">
      <c r="J10" s="11"/>
      <c r="K10" s="11"/>
      <c r="L10" s="11"/>
      <c r="M10" s="11"/>
      <c r="N10" s="11"/>
      <c r="Z10" s="11"/>
    </row>
    <row r="12" spans="1:28">
      <c r="E12" s="15"/>
      <c r="F12" s="9"/>
      <c r="G12" s="9"/>
    </row>
    <row r="14" spans="1:28">
      <c r="E14" s="7"/>
      <c r="F14" s="7"/>
      <c r="G14" s="7"/>
    </row>
    <row r="15" spans="1:28">
      <c r="E15" s="7"/>
      <c r="F15" s="7"/>
      <c r="G15" s="7"/>
      <c r="J15" s="17"/>
    </row>
    <row r="16" spans="1:28">
      <c r="E16" s="7"/>
      <c r="F16" s="7"/>
      <c r="G16" s="7"/>
    </row>
    <row r="20" spans="26:29">
      <c r="Z20" s="11"/>
      <c r="AA20" s="11"/>
      <c r="AB20" s="11"/>
      <c r="AC20" s="11"/>
    </row>
  </sheetData>
  <sheetProtection algorithmName="SHA-512" hashValue="cecqUJQBgIoBCZq+odnW9FGUf95dDZ9fW7ZwtnoKm6YLPEEnApzTAt9pOUEYCvWpPEluYnviMsaAriGZJHfzZw==" saltValue="IVaBvGHr68mq7XjgVPIGgw==" spinCount="100000" sheet="1" objects="1" scenarios="1" selectLockedCells="1"/>
  <mergeCells count="4">
    <mergeCell ref="C2:H2"/>
    <mergeCell ref="A6:C6"/>
    <mergeCell ref="A7:C7"/>
    <mergeCell ref="A8:C8"/>
  </mergeCells>
  <conditionalFormatting sqref="G6">
    <cfRule type="notContainsBlanks" dxfId="23" priority="63">
      <formula>LEN(TRIM(G6))&gt;0</formula>
    </cfRule>
    <cfRule type="expression" dxfId="22" priority="64">
      <formula>G$7&gt;0</formula>
    </cfRule>
  </conditionalFormatting>
  <conditionalFormatting sqref="D6">
    <cfRule type="notContainsBlanks" dxfId="21" priority="53">
      <formula>LEN(TRIM(D6))&gt;0</formula>
    </cfRule>
    <cfRule type="expression" dxfId="20" priority="54">
      <formula>D$7&gt;0</formula>
    </cfRule>
  </conditionalFormatting>
  <conditionalFormatting sqref="E6">
    <cfRule type="notContainsBlanks" dxfId="19" priority="19">
      <formula>LEN(TRIM(E6))&gt;0</formula>
    </cfRule>
    <cfRule type="expression" dxfId="18" priority="20">
      <formula>E$7&gt;0</formula>
    </cfRule>
  </conditionalFormatting>
  <conditionalFormatting sqref="F6">
    <cfRule type="notContainsBlanks" dxfId="17" priority="17">
      <formula>LEN(TRIM(F6))&gt;0</formula>
    </cfRule>
    <cfRule type="expression" dxfId="16" priority="18">
      <formula>F$7&gt;0</formula>
    </cfRule>
  </conditionalFormatting>
  <conditionalFormatting sqref="H6">
    <cfRule type="notContainsBlanks" dxfId="15" priority="15">
      <formula>LEN(TRIM(H6))&gt;0</formula>
    </cfRule>
    <cfRule type="expression" dxfId="14" priority="16">
      <formula>H$7&gt;0</formula>
    </cfRule>
  </conditionalFormatting>
  <conditionalFormatting sqref="I6">
    <cfRule type="notContainsBlanks" dxfId="13" priority="13">
      <formula>LEN(TRIM(I6))&gt;0</formula>
    </cfRule>
    <cfRule type="expression" dxfId="12" priority="14">
      <formula>I$7&gt;0</formula>
    </cfRule>
  </conditionalFormatting>
  <conditionalFormatting sqref="J6">
    <cfRule type="notContainsBlanks" dxfId="11" priority="11">
      <formula>LEN(TRIM(J6))&gt;0</formula>
    </cfRule>
    <cfRule type="expression" dxfId="10" priority="12">
      <formula>J$7&gt;0</formula>
    </cfRule>
  </conditionalFormatting>
  <conditionalFormatting sqref="K6">
    <cfRule type="notContainsBlanks" dxfId="9" priority="9">
      <formula>LEN(TRIM(K6))&gt;0</formula>
    </cfRule>
    <cfRule type="expression" dxfId="8" priority="10">
      <formula>K$7&gt;0</formula>
    </cfRule>
  </conditionalFormatting>
  <conditionalFormatting sqref="M6:T6">
    <cfRule type="notContainsBlanks" dxfId="7" priority="7">
      <formula>LEN(TRIM(M6))&gt;0</formula>
    </cfRule>
    <cfRule type="expression" dxfId="6" priority="8">
      <formula>M$7&gt;0</formula>
    </cfRule>
  </conditionalFormatting>
  <conditionalFormatting sqref="L6">
    <cfRule type="notContainsBlanks" dxfId="5" priority="5">
      <formula>LEN(TRIM(L6))&gt;0</formula>
    </cfRule>
    <cfRule type="expression" dxfId="4" priority="6">
      <formula>L$7&gt;0</formula>
    </cfRule>
  </conditionalFormatting>
  <conditionalFormatting sqref="C1">
    <cfRule type="notContainsBlanks" dxfId="3" priority="3">
      <formula>LEN(TRIM(C1))&gt;0</formula>
    </cfRule>
    <cfRule type="expression" dxfId="2" priority="4">
      <formula>C$7&gt;0</formula>
    </cfRule>
  </conditionalFormatting>
  <conditionalFormatting sqref="C2">
    <cfRule type="cellIs" dxfId="1" priority="2" stopIfTrue="1" operator="equal">
      <formula>""</formula>
    </cfRule>
  </conditionalFormatting>
  <conditionalFormatting sqref="E12">
    <cfRule type="duplicateValues" dxfId="0" priority="1"/>
  </conditionalFormatting>
  <dataValidations count="1">
    <dataValidation type="textLength" allowBlank="1" showInputMessage="1" showErrorMessage="1" sqref="E12:G13" xr:uid="{00000000-0002-0000-0500-000000000000}">
      <formula1>1</formula1>
      <formula2>11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s">
                <anchor moveWithCells="1" sizeWithCells="1">
                  <from>
                    <xdr:col>2</xdr:col>
                    <xdr:colOff>30480</xdr:colOff>
                    <xdr:row>12</xdr:row>
                    <xdr:rowOff>22860</xdr:rowOff>
                  </from>
                  <to>
                    <xdr:col>3</xdr:col>
                    <xdr:colOff>137160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"/>
  <sheetViews>
    <sheetView topLeftCell="C1"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0"/>
  <dimension ref="A1"/>
  <sheetViews>
    <sheetView topLeftCell="C1"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D1"/>
  <sheetViews>
    <sheetView workbookViewId="0"/>
  </sheetViews>
  <sheetFormatPr defaultRowHeight="14.4"/>
  <cols>
    <col min="4" max="4" width="9.109375" style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3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8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7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7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9"/>
  <dimension ref="A1"/>
  <sheetViews>
    <sheetView topLeftCell="C1"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0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1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2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3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5"/>
  <dimension ref="A1"/>
  <sheetViews>
    <sheetView workbookViewId="0"/>
  </sheetViews>
  <sheetFormatPr defaultRowHeight="14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Orientação_Preenchimento</vt:lpstr>
      <vt:lpstr>Local de Entrega</vt:lpstr>
      <vt:lpstr>Centro de Custo</vt:lpstr>
      <vt:lpstr>Beneficiario</vt:lpstr>
      <vt:lpstr>Provisorio</vt:lpstr>
      <vt:lpstr>Sumario</vt:lpstr>
      <vt:lpstr>00</vt:lpstr>
      <vt:lpstr>10</vt:lpstr>
      <vt:lpstr>11</vt:lpstr>
      <vt:lpstr>12</vt:lpstr>
      <vt:lpstr>20</vt:lpstr>
      <vt:lpstr>30</vt:lpstr>
      <vt:lpstr>40</vt:lpstr>
      <vt:lpstr>50</vt:lpstr>
      <vt:lpstr>60</vt:lpstr>
      <vt:lpstr>99</vt:lpstr>
      <vt:lpstr>60R</vt:lpstr>
      <vt:lpstr>60A</vt:lpstr>
      <vt:lpstr>60V</vt:lpstr>
      <vt:lpstr>60C</vt:lpstr>
      <vt:lpstr>60CESTA</vt:lpstr>
      <vt:lpstr>60NAT</vt:lpstr>
      <vt:lpstr>60AXA</vt:lpstr>
      <vt:lpstr>60VRS</vt:lpstr>
      <vt:lpstr>60AXR</vt:lpstr>
      <vt:lpstr>60MBF</vt:lpstr>
      <vt:lpstr>60MBP</vt:lpstr>
      <vt:lpstr>60MBX</vt:lpstr>
      <vt:lpstr>60FLX</vt:lpstr>
      <vt:lpstr>60VRG</vt:lpstr>
      <vt:lpstr>cpf</vt:lpstr>
      <vt:lpstr>60VRM</vt:lpstr>
      <vt:lpstr>60VAM</vt:lpstr>
      <vt:lpstr>60RXM</vt:lpstr>
      <vt:lpstr>60AXM</vt:lpstr>
      <vt:lpstr>60FXM</vt:lpstr>
      <vt:lpstr>60HOM</vt:lpstr>
      <vt:lpstr>60VBM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 Benefícios</dc:creator>
  <cp:lastModifiedBy>Rodrigo Castro</cp:lastModifiedBy>
  <dcterms:created xsi:type="dcterms:W3CDTF">2013-10-01T19:07:43Z</dcterms:created>
  <dcterms:modified xsi:type="dcterms:W3CDTF">2026-07-28T12:40:22Z</dcterms:modified>
</cp:coreProperties>
</file>